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9"/>
  </bookViews>
  <sheets>
    <sheet name="11.11自采" sheetId="1" r:id="rId1"/>
    <sheet name="11.14退货" sheetId="2" r:id="rId2"/>
    <sheet name="11.14定采" sheetId="3" r:id="rId3"/>
    <sheet name="11.14自采" sheetId="4" r:id="rId4"/>
    <sheet name="11.18自采" sheetId="5" r:id="rId5"/>
    <sheet name="11.18日用品" sheetId="6" r:id="rId6"/>
    <sheet name="11.21自采" sheetId="7" r:id="rId7"/>
    <sheet name="11.21日用品" sheetId="8" r:id="rId8"/>
    <sheet name="11.24日用品" sheetId="9" r:id="rId9"/>
    <sheet name="11.26定采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<sst xmlns="http://schemas.openxmlformats.org/spreadsheetml/2006/main" count="640" uniqueCount="330">
  <si>
    <t>武汉海聘电子商务有限公司发货单</t>
  </si>
  <si>
    <t>客户：</t>
  </si>
  <si>
    <t>汇得行武汉商务局项目点/超市用品-翰林大厦</t>
  </si>
  <si>
    <t>日期：</t>
  </si>
  <si>
    <t>行号</t>
  </si>
  <si>
    <t>货号</t>
  </si>
  <si>
    <t>商品名称</t>
  </si>
  <si>
    <t>箱规</t>
  </si>
  <si>
    <t>箱数</t>
  </si>
  <si>
    <t>数量</t>
  </si>
  <si>
    <t>单位</t>
  </si>
  <si>
    <t>供货价</t>
  </si>
  <si>
    <t>金额汇总</t>
  </si>
  <si>
    <t>建议售价</t>
  </si>
  <si>
    <t>6974336955409</t>
  </si>
  <si>
    <t>老金磨方 党参山药八珍丸108g</t>
  </si>
  <si>
    <t>罐</t>
  </si>
  <si>
    <t>6974336956949</t>
  </si>
  <si>
    <t>老金磨方 黄精灵芝黑芝麻丸108g</t>
  </si>
  <si>
    <t>6974336959988</t>
  </si>
  <si>
    <t>老金磨方 无糖轻脂黑芝麻丸108g-黑金</t>
  </si>
  <si>
    <t>6974336951678</t>
  </si>
  <si>
    <t>老金磨方 阿胶红参红颜丸108g</t>
  </si>
  <si>
    <t>6974336950831</t>
  </si>
  <si>
    <t>老金磨方 经典黑芝麻丸126g六角罐</t>
  </si>
  <si>
    <t>6958247437476</t>
  </si>
  <si>
    <t>优诗美意 脆脆乳95g</t>
  </si>
  <si>
    <t>6958247437469</t>
  </si>
  <si>
    <t>优诗美意 烤酸奶95g</t>
  </si>
  <si>
    <t>6974900681697</t>
  </si>
  <si>
    <t>瑞幸冷萃咖啡液 美式风味25ml*9</t>
  </si>
  <si>
    <t>盒</t>
  </si>
  <si>
    <t>6926659902233</t>
  </si>
  <si>
    <t>哈纳斯新疆原味奶茶粉100g</t>
  </si>
  <si>
    <t>6926659902387</t>
  </si>
  <si>
    <t>哈纳斯茉莉乌龙牛乳茶100g</t>
  </si>
  <si>
    <t>6926659902363</t>
  </si>
  <si>
    <t>哈纳斯红茶厚乳拿铁105g</t>
  </si>
  <si>
    <t>6926659902356</t>
  </si>
  <si>
    <t>哈纳斯红糖姜枣牛乳茶100g</t>
  </si>
  <si>
    <t>6976386581805</t>
  </si>
  <si>
    <t>COSTA 经典黑咖啡味咖啡糖45g</t>
  </si>
  <si>
    <t>6940996700338</t>
  </si>
  <si>
    <t>明治特浓牛奶巧克力65g</t>
  </si>
  <si>
    <t>条</t>
  </si>
  <si>
    <t>6940996700314</t>
  </si>
  <si>
    <t>明治牛奶巧克力65g</t>
  </si>
  <si>
    <t>6940996700376</t>
  </si>
  <si>
    <t>明治60%特纯黑巧克力65g</t>
  </si>
  <si>
    <t>6974844370305</t>
  </si>
  <si>
    <t>明治70%超纯黑巧克力65g</t>
  </si>
  <si>
    <t>6903148044957</t>
  </si>
  <si>
    <t>750ml海飞丝丝质顺滑洗发露</t>
  </si>
  <si>
    <t>瓶</t>
  </si>
  <si>
    <t>6903148045039</t>
  </si>
  <si>
    <t>750ml海飞丝洗发水（清爽控油）</t>
  </si>
  <si>
    <t>6902088929829</t>
  </si>
  <si>
    <t>奥妙自然工坊洗衣凝珠白茶50香颗/盒</t>
  </si>
  <si>
    <t>6902088929805</t>
  </si>
  <si>
    <t>奥妙自然工坊洗衣凝珠白桃50香颗/盒</t>
  </si>
  <si>
    <t>6920999701754</t>
  </si>
  <si>
    <t>大宝SOD蜜200ml</t>
  </si>
  <si>
    <t>6925911510322</t>
  </si>
  <si>
    <t>威露士泡沫洗手液300ml</t>
  </si>
  <si>
    <t>6925954480101</t>
  </si>
  <si>
    <t>洁丽雅毛巾纯棉毛巾w1612</t>
  </si>
  <si>
    <t>6925954418562</t>
  </si>
  <si>
    <t>洁丽雅提花童巾8856</t>
  </si>
  <si>
    <t>6942203448729</t>
  </si>
  <si>
    <t>洁丽雅卡通纯棉童巾241324-2T</t>
  </si>
  <si>
    <t>6942203443106</t>
  </si>
  <si>
    <t>洁丽雅毛巾W3286-4</t>
  </si>
  <si>
    <t>6917878006970</t>
  </si>
  <si>
    <t>雀巢健心中老年奶粉400g袋装</t>
  </si>
  <si>
    <t>袋</t>
  </si>
  <si>
    <t>9300639602967</t>
  </si>
  <si>
    <t>德运全脂奶粉1kg</t>
  </si>
  <si>
    <t>7707211631209</t>
  </si>
  <si>
    <t>博恩低因冻干速溶咖啡85g</t>
  </si>
  <si>
    <t>6923644210151</t>
  </si>
  <si>
    <t>蒙牛纯牛奶250ml*24</t>
  </si>
  <si>
    <t>提</t>
  </si>
  <si>
    <t>6907992513829</t>
  </si>
  <si>
    <t>伊利安慕希高端颗粒黄桃燕麦味200g*10</t>
  </si>
  <si>
    <t>6922507829226</t>
  </si>
  <si>
    <t>陈克明龙须精制挂面1000g</t>
  </si>
  <si>
    <t>6922507800621</t>
  </si>
  <si>
    <t>陈克明高筋玉带面1000g</t>
  </si>
  <si>
    <t>6910019015503</t>
  </si>
  <si>
    <t>超能女士内衣专用皂101g*4</t>
  </si>
  <si>
    <t>组</t>
  </si>
  <si>
    <t>6934468006820</t>
  </si>
  <si>
    <t>五得利五星特精小麦粉2.5kg</t>
  </si>
  <si>
    <t>6902265451419</t>
  </si>
  <si>
    <t>海天陈醋450ml</t>
  </si>
  <si>
    <t>6902083813109</t>
  </si>
  <si>
    <t>娃哈哈纯净水5.5L</t>
  </si>
  <si>
    <t>桶</t>
  </si>
  <si>
    <t>6902083881412</t>
  </si>
  <si>
    <t>娃哈哈饮用纯净水1.5L</t>
  </si>
  <si>
    <t>金额小计</t>
  </si>
  <si>
    <t>核准人：周丽</t>
  </si>
  <si>
    <t>配送单位（盖章）</t>
  </si>
  <si>
    <t>收货单位签收：</t>
  </si>
  <si>
    <t>武汉海聘电子商务有限公司退货单</t>
  </si>
  <si>
    <t>6975772071210</t>
  </si>
  <si>
    <t>小美吖枣夹核桃180g</t>
  </si>
  <si>
    <t>6931235800407</t>
  </si>
  <si>
    <t>无名小卒花椒锅巴麻辣味210g</t>
  </si>
  <si>
    <t>6911988013576</t>
  </si>
  <si>
    <t>达利园瑞士卷草莓200g</t>
  </si>
  <si>
    <t>6974218861651</t>
  </si>
  <si>
    <t>信达地道肠香辣味190g</t>
  </si>
  <si>
    <t>6975624470277</t>
  </si>
  <si>
    <t>果不离-280g彩杯燕麦燕窝粥</t>
  </si>
  <si>
    <t>杯</t>
  </si>
  <si>
    <t>6924911906159</t>
  </si>
  <si>
    <t>大吃兄 锅巴大王168g-小龙虾味</t>
  </si>
  <si>
    <t>6924911906449</t>
  </si>
  <si>
    <t>大吃兄 锅巴大王168g-午夜烧烤风味</t>
  </si>
  <si>
    <t>北鼎养生壶1.2L</t>
  </si>
  <si>
    <t>个</t>
  </si>
  <si>
    <t>6921168558049</t>
  </si>
  <si>
    <t>东方树叶茉莉花茶500ml</t>
  </si>
  <si>
    <t>6921168598427</t>
  </si>
  <si>
    <t>东方树叶茉莉花茶900ml</t>
  </si>
  <si>
    <t>6933735229542</t>
  </si>
  <si>
    <t>百菲酪水牛纯牛奶200ml*12</t>
  </si>
  <si>
    <t>6973852490494</t>
  </si>
  <si>
    <t>蜂解 蜂蜜柠檬水360g</t>
  </si>
  <si>
    <t>8859015703152</t>
  </si>
  <si>
    <t>if100%椰子水1L</t>
  </si>
  <si>
    <t>4894375034908</t>
  </si>
  <si>
    <t>AJI 奇亚籽苏打饼干295g-松茸味</t>
  </si>
  <si>
    <t>4894375034892</t>
  </si>
  <si>
    <t>AJI 奇亚籽苏打饼干295g-黑松露味</t>
  </si>
  <si>
    <t>6923450613344</t>
  </si>
  <si>
    <t>绿箭爆珠口香糖33g</t>
  </si>
  <si>
    <t>益达56g40粒瓶装木糖醇口香糖 蜜瓜</t>
  </si>
  <si>
    <t>6923450656150</t>
  </si>
  <si>
    <t>益达清爽草莓味无糖口香糖约40粒装</t>
  </si>
  <si>
    <t>6923450659441</t>
  </si>
  <si>
    <t>益达元气白桃味无糖口香糖约40粒装</t>
  </si>
  <si>
    <t>6923450657638</t>
  </si>
  <si>
    <t>益达奔涌西瓜味无糖口香糖约40粒装</t>
  </si>
  <si>
    <t>6923450656860</t>
  </si>
  <si>
    <t>益达阳光香橙味无糖口香糖约40粒装</t>
  </si>
  <si>
    <t>6923450657935</t>
  </si>
  <si>
    <t>益达元气蓝莓味无糖口香糖约40粒装</t>
  </si>
  <si>
    <t>6923450656181</t>
  </si>
  <si>
    <t>益达清爽薄荷味无糖口香糖约40粒装</t>
  </si>
  <si>
    <t>6974844371296</t>
  </si>
  <si>
    <t>明治雪吻-牛奶29g</t>
  </si>
  <si>
    <t>6974844371326</t>
  </si>
  <si>
    <t>明治雪吻-意式榛果29g</t>
  </si>
  <si>
    <t>6975608830394</t>
  </si>
  <si>
    <t>左梅右李-青梅抱葡萄248g</t>
  </si>
  <si>
    <t>4901872888719</t>
  </si>
  <si>
    <t>资生堂惠润淡雅柑桔沐浴露650ml</t>
  </si>
  <si>
    <t>4901872888757</t>
  </si>
  <si>
    <t>资生堂惠润淡雅果味沐浴露650ml</t>
  </si>
  <si>
    <t>6901236371725</t>
  </si>
  <si>
    <t>维达蓝色经典迷你手帕纸v0036</t>
  </si>
  <si>
    <t>6901236384626</t>
  </si>
  <si>
    <t>得宝无香4层8连包抽纸</t>
  </si>
  <si>
    <t>6901236387603</t>
  </si>
  <si>
    <t>得宝卷纸1600g</t>
  </si>
  <si>
    <t>6901236388372</t>
  </si>
  <si>
    <t>维达立体美棉韧抽纸3层100抽(6+2)</t>
  </si>
  <si>
    <t>6902022130526</t>
  </si>
  <si>
    <t>蓝月亮衣领净500g 1+1</t>
  </si>
  <si>
    <t>套</t>
  </si>
  <si>
    <t>6902088714753</t>
  </si>
  <si>
    <t>奥妙除菌除螨洗衣液3KG</t>
  </si>
  <si>
    <t>6907376821052</t>
  </si>
  <si>
    <t>250ml李施德林零度漱口水</t>
  </si>
  <si>
    <t>6910019005443</t>
  </si>
  <si>
    <t>超能天然皂粉1.6kg</t>
  </si>
  <si>
    <t>包</t>
  </si>
  <si>
    <t>6920177945635</t>
  </si>
  <si>
    <t>施华蔻生姜精华洗发露控油型600ml</t>
  </si>
  <si>
    <t>6920177949787</t>
  </si>
  <si>
    <t>施华蔻多效修护洗发露600ml</t>
  </si>
  <si>
    <t>6923275610207</t>
  </si>
  <si>
    <t>白大夫万根超密丝牙刷1020</t>
  </si>
  <si>
    <t>支</t>
  </si>
  <si>
    <t>6926382531618</t>
  </si>
  <si>
    <t>金号毛巾0224</t>
  </si>
  <si>
    <t>6942203429797</t>
  </si>
  <si>
    <t>洁丽雅毛巾230194M</t>
  </si>
  <si>
    <t>6924497924653</t>
  </si>
  <si>
    <t>福达坊物理压榨纯亚麻籽油5L</t>
  </si>
  <si>
    <t>壶</t>
  </si>
  <si>
    <t>6938749816122</t>
  </si>
  <si>
    <t>鲁花低芥酸特香菜籽油5L</t>
  </si>
  <si>
    <t>6916168616554</t>
  </si>
  <si>
    <t>鲁花5S压榨一级花生油5L</t>
  </si>
  <si>
    <t>6901236301302</t>
  </si>
  <si>
    <t>维达纯水洁肤湿巾80片装VW1027</t>
  </si>
  <si>
    <t>12</t>
  </si>
  <si>
    <t>6901668200013</t>
  </si>
  <si>
    <t>太平奶盐味梳打饼干100g</t>
  </si>
  <si>
    <t>24.00</t>
  </si>
  <si>
    <t>6901757301010</t>
  </si>
  <si>
    <t>老四川五香牛肉干138g</t>
  </si>
  <si>
    <t>20.00</t>
  </si>
  <si>
    <t>6902022135316</t>
  </si>
  <si>
    <t>蓝月亮深层清香洗衣液3kg</t>
  </si>
  <si>
    <t>4.00</t>
  </si>
  <si>
    <t>6902890250166</t>
  </si>
  <si>
    <t>双汇王中王(无淀粉火腿肠)40g*10支</t>
  </si>
  <si>
    <t>6904960800226</t>
  </si>
  <si>
    <t>味福白胡椒粉227g</t>
  </si>
  <si>
    <t>10.00</t>
  </si>
  <si>
    <t>6904960800233</t>
  </si>
  <si>
    <t>味福黑胡椒粉227g</t>
  </si>
  <si>
    <t>6925303730574</t>
  </si>
  <si>
    <t>统一阿萨姆奶茶500ml</t>
  </si>
  <si>
    <t>15.00</t>
  </si>
  <si>
    <t>6928804010220</t>
  </si>
  <si>
    <t>雪碧500ml</t>
  </si>
  <si>
    <t>24</t>
  </si>
  <si>
    <t>6970479743170</t>
  </si>
  <si>
    <t>小鹿妈妈御虎牙线棒52支</t>
  </si>
  <si>
    <t>200</t>
  </si>
  <si>
    <t>6973202701263</t>
  </si>
  <si>
    <t>豪士藜麦吐司面包103g</t>
  </si>
  <si>
    <t>6911006999325</t>
  </si>
  <si>
    <t>国宝桥米10kg（绿色）</t>
  </si>
  <si>
    <t>6911006000021</t>
  </si>
  <si>
    <t>国宝桥米真空包5kg</t>
  </si>
  <si>
    <t>6916168618862</t>
  </si>
  <si>
    <t>鲁花非转基因压榨玉米油5L</t>
  </si>
  <si>
    <t>8002650000807</t>
  </si>
  <si>
    <t>圣贵兰咖啡豆（特醇香浓型）500g</t>
  </si>
  <si>
    <t>6905014300310</t>
  </si>
  <si>
    <t>西麦即食燕麦片700g（35g*20）</t>
  </si>
  <si>
    <t>6903148283516</t>
  </si>
  <si>
    <t>佳洁士锁白清新白樱花牙膏120g</t>
  </si>
  <si>
    <t>6901236382981</t>
  </si>
  <si>
    <t>维达抽纸4包L码</t>
  </si>
  <si>
    <t>6923589468105</t>
  </si>
  <si>
    <t>高洁丝280极薄5+2</t>
  </si>
  <si>
    <t>6923589467009</t>
  </si>
  <si>
    <t>高洁丝纯棉进口迷你卫生巾</t>
  </si>
  <si>
    <t>6925911511671</t>
  </si>
  <si>
    <t>威露士亮净洁厕精（强力）1000ml</t>
  </si>
  <si>
    <t>6907376102403</t>
  </si>
  <si>
    <t>李施德林樱花蜜桃漱口水250ml</t>
  </si>
  <si>
    <t>6971443680798</t>
  </si>
  <si>
    <t>中越泰咸蛋黄味荔铺芋头180g</t>
  </si>
  <si>
    <t>6914973206106</t>
  </si>
  <si>
    <t>士力架巧克力全家桶460g</t>
  </si>
  <si>
    <t>6974844371340</t>
  </si>
  <si>
    <t>(大)明治雪吻抹茶味55g</t>
  </si>
  <si>
    <t>6974844371357</t>
  </si>
  <si>
    <t>(大)明治雪吻牛奶味55g</t>
  </si>
  <si>
    <t>6974844371364</t>
  </si>
  <si>
    <t>(大)明治雪吻可可味55g</t>
  </si>
  <si>
    <t>6974844371388</t>
  </si>
  <si>
    <t>(大)明治雪吻 榛仁巴旦木味55g</t>
  </si>
  <si>
    <t>6934346301986</t>
  </si>
  <si>
    <t>Aji日式夹馅小圆饼(咸蛋黄味味)80g</t>
  </si>
  <si>
    <t>6934346301979</t>
  </si>
  <si>
    <t>Aji日式夹馅小圆饼(海盐柠檬味)80g</t>
  </si>
  <si>
    <t>6934346301962</t>
  </si>
  <si>
    <t>Aii黄油曲奇80g</t>
  </si>
  <si>
    <t>6925723002565</t>
  </si>
  <si>
    <t>三胖蛋原味葵瓜子168g罐装</t>
  </si>
  <si>
    <t>6925723000653</t>
  </si>
  <si>
    <t>三胖蛋盐焗南瓜子180g罐装</t>
  </si>
  <si>
    <t>6925723000837</t>
  </si>
  <si>
    <t>三胖蛋五香南瓜子180g罐装</t>
  </si>
  <si>
    <t>4894375043443</t>
  </si>
  <si>
    <t>Aji猫耳酥200g原味</t>
  </si>
  <si>
    <t>48943 75043450</t>
  </si>
  <si>
    <t>Aji 猫耳酥200g 白芝麻味</t>
  </si>
  <si>
    <t>6922255451427</t>
  </si>
  <si>
    <t>百岁山矿泉水570ml</t>
  </si>
  <si>
    <t>筒</t>
  </si>
  <si>
    <t>6924911901611</t>
  </si>
  <si>
    <t>大吃兄糯米锅巴原味260g</t>
  </si>
  <si>
    <t>6902265505419</t>
  </si>
  <si>
    <t>海天0金标生抽500ml</t>
  </si>
  <si>
    <t>6911567888458</t>
  </si>
  <si>
    <t>东古精制白醋500ml</t>
  </si>
  <si>
    <t>6902265590712</t>
  </si>
  <si>
    <t>海天0金标蚝油（挤挤装）625g</t>
  </si>
  <si>
    <t>6902265114369</t>
  </si>
  <si>
    <t>海天特级草菇老抽500ml</t>
  </si>
  <si>
    <t>6902265150015</t>
  </si>
  <si>
    <t>海天味极鲜酱油750ml</t>
  </si>
  <si>
    <t>6902265111719</t>
  </si>
  <si>
    <t>海天蒸鱼豉油450ml</t>
  </si>
  <si>
    <t>6920907801323</t>
  </si>
  <si>
    <t>好丽友 提拉米苏23g*6</t>
  </si>
  <si>
    <t>6917751430724</t>
  </si>
  <si>
    <t>妙洁背心式垃圾袋大号超值装</t>
  </si>
  <si>
    <t>6905734202024</t>
  </si>
  <si>
    <t>旺旺煎饼100g</t>
  </si>
  <si>
    <t>6907992512761</t>
  </si>
  <si>
    <t>伊利安慕希希腊酸奶205g*12</t>
  </si>
  <si>
    <t>6924187839212</t>
  </si>
  <si>
    <t>洽洽喀吱脆铁板烧烤35g</t>
  </si>
  <si>
    <t>6924187839250</t>
  </si>
  <si>
    <t>洽洽喀吱脆鸡汁番茄35g</t>
  </si>
  <si>
    <t>6924187842403</t>
  </si>
  <si>
    <t>洽洽喀吱脆麻辣香锅35g</t>
  </si>
  <si>
    <t>6902265470267</t>
  </si>
  <si>
    <t>海天黄豆酱340g</t>
  </si>
  <si>
    <t>6924743920330</t>
  </si>
  <si>
    <t>乐事奇多妙脆角魔力炭烤味65g</t>
  </si>
  <si>
    <t>6901668934888</t>
  </si>
  <si>
    <t>奥利奥薄脆抹茶无花果味95g</t>
  </si>
  <si>
    <t>6901668935724</t>
  </si>
  <si>
    <t>奥利奥经典原味夹心饼干97g</t>
  </si>
  <si>
    <t>6901894127443</t>
  </si>
  <si>
    <t>白猫84消毒液700g（团购）</t>
  </si>
  <si>
    <t>6924862101894</t>
  </si>
  <si>
    <t>百事可乐无糖500ml</t>
  </si>
  <si>
    <t>6928804010114</t>
  </si>
  <si>
    <t>零度可口可乐500ml</t>
  </si>
  <si>
    <t>6934660554174</t>
  </si>
  <si>
    <t>苏菲裸感S贵族系列日用卫生巾25cm 12片</t>
  </si>
  <si>
    <t>6920584471055</t>
  </si>
  <si>
    <t>旺仔牛奶245ml*12</t>
  </si>
  <si>
    <t>6901028179324</t>
  </si>
  <si>
    <t>黄鹤楼硬珍</t>
  </si>
  <si>
    <t>一加手机16G+1GB 黑色</t>
  </si>
  <si>
    <t>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</si>
</sst>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L8" sqref="L8"/>
    </sheetView>
  </sheetViews>
  <sheetFormatPr defaultColWidth="9" defaultRowHeight="16.5"/>
  <cols>
    <col min="1" max="1" width="5.25" style="4" customWidth="1"/>
    <col min="2" max="2" width="18.375" style="4" customWidth="1"/>
    <col min="3" max="3" width="35.625" style="5" customWidth="1"/>
    <col min="4" max="4" width="5.875" style="4" customWidth="1"/>
    <col min="5" max="5" width="6.5" style="4" customWidth="1"/>
    <col min="6" max="7" width="4.625" style="4" customWidth="1"/>
    <col min="8" max="8" width="6.25" style="4" customWidth="1"/>
    <col min="9" max="9" width="9.875" style="4" customWidth="1"/>
    <col min="10" max="10" width="7.875" style="6" customWidth="1"/>
    <col min="11" max="11" width="17.15" style="6" customWidth="1"/>
    <col min="12" max="16384" width="9" style="6"/>
  </cols>
  <sheetData>
    <row r="1" s="22" customFormat="1" ht="16" customHeight="1" spans="1:10">
      <c r="A1" s="23" t="s">
        <v>0</v>
      </c>
      <c r="B1" s="23"/>
      <c r="C1" s="24"/>
      <c r="D1" s="23"/>
      <c r="E1" s="23"/>
      <c r="F1" s="23"/>
      <c r="G1" s="23"/>
      <c r="H1" s="23"/>
      <c r="I1" s="23"/>
      <c r="J1" s="23"/>
    </row>
    <row r="2" s="2" customFormat="1" ht="13.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45972</v>
      </c>
      <c r="G2" s="11"/>
      <c r="H2" s="11"/>
      <c r="I2" s="12"/>
    </row>
    <row r="3" s="2" customFormat="1" ht="13.5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3.5" customHeight="1" spans="1:10">
      <c r="A4" s="13">
        <v>1</v>
      </c>
      <c r="B4" s="13" t="s">
        <v>14</v>
      </c>
      <c r="C4" s="14" t="s">
        <v>15</v>
      </c>
      <c r="D4" s="17">
        <v>16</v>
      </c>
      <c r="E4" s="13"/>
      <c r="F4" s="13">
        <v>5</v>
      </c>
      <c r="G4" s="13" t="s">
        <v>16</v>
      </c>
      <c r="H4" s="13">
        <v>26.8</v>
      </c>
      <c r="I4" s="13">
        <f t="shared" ref="I4:I42" si="0">H4*F4</f>
        <v>134</v>
      </c>
      <c r="J4" s="13">
        <v>29.9</v>
      </c>
    </row>
    <row r="5" s="2" customFormat="1" ht="13.5" customHeight="1" spans="1:10">
      <c r="A5" s="13">
        <v>2</v>
      </c>
      <c r="B5" s="13" t="s">
        <v>17</v>
      </c>
      <c r="C5" s="14" t="s">
        <v>18</v>
      </c>
      <c r="D5" s="17">
        <v>16</v>
      </c>
      <c r="E5" s="13"/>
      <c r="F5" s="13">
        <v>5</v>
      </c>
      <c r="G5" s="13" t="s">
        <v>16</v>
      </c>
      <c r="H5" s="13">
        <v>26.8</v>
      </c>
      <c r="I5" s="13">
        <f t="shared" si="0"/>
        <v>134</v>
      </c>
      <c r="J5" s="13">
        <v>29.9</v>
      </c>
    </row>
    <row r="6" s="2" customFormat="1" ht="13.5" customHeight="1" spans="1:10">
      <c r="A6" s="13">
        <v>3</v>
      </c>
      <c r="B6" s="13" t="s">
        <v>19</v>
      </c>
      <c r="C6" s="14" t="s">
        <v>20</v>
      </c>
      <c r="D6" s="17">
        <v>16</v>
      </c>
      <c r="E6" s="13"/>
      <c r="F6" s="13">
        <v>5</v>
      </c>
      <c r="G6" s="13" t="s">
        <v>16</v>
      </c>
      <c r="H6" s="13">
        <v>26.8</v>
      </c>
      <c r="I6" s="13">
        <f t="shared" si="0"/>
        <v>134</v>
      </c>
      <c r="J6" s="13">
        <v>29.9</v>
      </c>
    </row>
    <row r="7" s="2" customFormat="1" ht="13.5" customHeight="1" spans="1:10">
      <c r="A7" s="13">
        <v>4</v>
      </c>
      <c r="B7" s="13" t="s">
        <v>21</v>
      </c>
      <c r="C7" s="14" t="s">
        <v>22</v>
      </c>
      <c r="D7" s="17">
        <v>16</v>
      </c>
      <c r="E7" s="13"/>
      <c r="F7" s="13">
        <v>5</v>
      </c>
      <c r="G7" s="13" t="s">
        <v>16</v>
      </c>
      <c r="H7" s="13">
        <v>26.8</v>
      </c>
      <c r="I7" s="13">
        <f t="shared" si="0"/>
        <v>134</v>
      </c>
      <c r="J7" s="13">
        <v>29.9</v>
      </c>
    </row>
    <row r="8" s="2" customFormat="1" ht="13.5" customHeight="1" spans="1:10">
      <c r="A8" s="13">
        <v>5</v>
      </c>
      <c r="B8" s="13" t="s">
        <v>23</v>
      </c>
      <c r="C8" s="14" t="s">
        <v>24</v>
      </c>
      <c r="D8" s="17">
        <v>16</v>
      </c>
      <c r="E8" s="13"/>
      <c r="F8" s="26">
        <v>5</v>
      </c>
      <c r="G8" s="13" t="s">
        <v>16</v>
      </c>
      <c r="H8" s="13">
        <v>26.8</v>
      </c>
      <c r="I8" s="13">
        <f t="shared" si="0"/>
        <v>134</v>
      </c>
      <c r="J8" s="13">
        <v>29.9</v>
      </c>
    </row>
    <row r="9" s="2" customFormat="1" ht="13.5" customHeight="1" spans="1:10">
      <c r="A9" s="13">
        <v>6</v>
      </c>
      <c r="B9" s="13" t="s">
        <v>25</v>
      </c>
      <c r="C9" s="14" t="s">
        <v>26</v>
      </c>
      <c r="D9" s="17">
        <v>30</v>
      </c>
      <c r="E9" s="13"/>
      <c r="F9" s="26">
        <v>10</v>
      </c>
      <c r="G9" s="13" t="s">
        <v>16</v>
      </c>
      <c r="H9" s="13">
        <v>21.5</v>
      </c>
      <c r="I9" s="13">
        <f t="shared" si="0"/>
        <v>215</v>
      </c>
      <c r="J9" s="13">
        <v>23.9</v>
      </c>
    </row>
    <row r="10" s="2" customFormat="1" ht="13.5" customHeight="1" spans="1:10">
      <c r="A10" s="13">
        <v>7</v>
      </c>
      <c r="B10" s="13" t="s">
        <v>27</v>
      </c>
      <c r="C10" s="14" t="s">
        <v>28</v>
      </c>
      <c r="D10" s="17">
        <v>30</v>
      </c>
      <c r="E10" s="13"/>
      <c r="F10" s="13">
        <v>10</v>
      </c>
      <c r="G10" s="13" t="s">
        <v>16</v>
      </c>
      <c r="H10" s="13">
        <v>21.5</v>
      </c>
      <c r="I10" s="13">
        <f t="shared" si="0"/>
        <v>215</v>
      </c>
      <c r="J10" s="13">
        <v>23.9</v>
      </c>
    </row>
    <row r="11" s="2" customFormat="1" ht="13.5" customHeight="1" spans="1:10">
      <c r="A11" s="13">
        <v>8</v>
      </c>
      <c r="B11" s="27" t="s">
        <v>29</v>
      </c>
      <c r="C11" s="14" t="s">
        <v>30</v>
      </c>
      <c r="D11" s="17">
        <v>15</v>
      </c>
      <c r="E11" s="13">
        <v>1</v>
      </c>
      <c r="F11" s="13">
        <v>15</v>
      </c>
      <c r="G11" s="13" t="s">
        <v>31</v>
      </c>
      <c r="H11" s="13">
        <v>38.5</v>
      </c>
      <c r="I11" s="13">
        <f t="shared" si="0"/>
        <v>577.5</v>
      </c>
      <c r="J11" s="13">
        <v>43</v>
      </c>
    </row>
    <row r="12" s="2" customFormat="1" ht="13.5" customHeight="1" spans="1:10">
      <c r="A12" s="13">
        <v>9</v>
      </c>
      <c r="B12" s="13" t="s">
        <v>32</v>
      </c>
      <c r="C12" s="14" t="s">
        <v>33</v>
      </c>
      <c r="D12" s="17">
        <v>64</v>
      </c>
      <c r="E12" s="13"/>
      <c r="F12" s="13">
        <v>10</v>
      </c>
      <c r="G12" s="13" t="s">
        <v>31</v>
      </c>
      <c r="H12" s="13">
        <v>28.5</v>
      </c>
      <c r="I12" s="13">
        <f t="shared" si="0"/>
        <v>285</v>
      </c>
      <c r="J12" s="13">
        <v>31.9</v>
      </c>
    </row>
    <row r="13" s="2" customFormat="1" ht="13.5" customHeight="1" spans="1:10">
      <c r="A13" s="13">
        <v>10</v>
      </c>
      <c r="B13" s="13" t="s">
        <v>34</v>
      </c>
      <c r="C13" s="14" t="s">
        <v>35</v>
      </c>
      <c r="D13" s="17">
        <v>64</v>
      </c>
      <c r="E13" s="13"/>
      <c r="F13" s="13">
        <v>10</v>
      </c>
      <c r="G13" s="13" t="s">
        <v>31</v>
      </c>
      <c r="H13" s="13">
        <v>28.5</v>
      </c>
      <c r="I13" s="13">
        <f t="shared" si="0"/>
        <v>285</v>
      </c>
      <c r="J13" s="13">
        <v>31.9</v>
      </c>
    </row>
    <row r="14" s="2" customFormat="1" ht="13.5" customHeight="1" spans="1:10">
      <c r="A14" s="13">
        <v>11</v>
      </c>
      <c r="B14" s="13" t="s">
        <v>36</v>
      </c>
      <c r="C14" s="14" t="s">
        <v>37</v>
      </c>
      <c r="D14" s="17">
        <v>52</v>
      </c>
      <c r="E14" s="13"/>
      <c r="F14" s="26">
        <v>10</v>
      </c>
      <c r="G14" s="13" t="s">
        <v>31</v>
      </c>
      <c r="H14" s="13">
        <v>28.5</v>
      </c>
      <c r="I14" s="13">
        <f t="shared" si="0"/>
        <v>285</v>
      </c>
      <c r="J14" s="13">
        <v>31.9</v>
      </c>
    </row>
    <row r="15" s="2" customFormat="1" ht="13.5" customHeight="1" spans="1:10">
      <c r="A15" s="13">
        <v>12</v>
      </c>
      <c r="B15" s="13" t="s">
        <v>38</v>
      </c>
      <c r="C15" s="14" t="s">
        <v>39</v>
      </c>
      <c r="D15" s="17">
        <v>64</v>
      </c>
      <c r="E15" s="13"/>
      <c r="F15" s="13">
        <v>10</v>
      </c>
      <c r="G15" s="13" t="s">
        <v>31</v>
      </c>
      <c r="H15" s="13">
        <v>28.5</v>
      </c>
      <c r="I15" s="13">
        <f t="shared" si="0"/>
        <v>285</v>
      </c>
      <c r="J15" s="13">
        <v>31.9</v>
      </c>
    </row>
    <row r="16" s="2" customFormat="1" ht="13.5" customHeight="1" spans="1:10">
      <c r="A16" s="13">
        <v>13</v>
      </c>
      <c r="B16" s="13" t="s">
        <v>40</v>
      </c>
      <c r="C16" s="14" t="s">
        <v>41</v>
      </c>
      <c r="D16" s="17">
        <v>10</v>
      </c>
      <c r="E16" s="13">
        <v>1</v>
      </c>
      <c r="F16" s="13">
        <v>10</v>
      </c>
      <c r="G16" s="13" t="s">
        <v>31</v>
      </c>
      <c r="H16" s="13">
        <v>15</v>
      </c>
      <c r="I16" s="13">
        <f t="shared" si="0"/>
        <v>150</v>
      </c>
      <c r="J16" s="13">
        <v>16.8</v>
      </c>
    </row>
    <row r="17" s="2" customFormat="1" ht="13.5" customHeight="1" spans="1:10">
      <c r="A17" s="13">
        <v>14</v>
      </c>
      <c r="B17" s="27" t="s">
        <v>42</v>
      </c>
      <c r="C17" s="14" t="s">
        <v>43</v>
      </c>
      <c r="D17" s="17">
        <v>10</v>
      </c>
      <c r="E17" s="13">
        <v>1</v>
      </c>
      <c r="F17" s="13">
        <v>10</v>
      </c>
      <c r="G17" s="13" t="s">
        <v>44</v>
      </c>
      <c r="H17" s="13">
        <v>13</v>
      </c>
      <c r="I17" s="13">
        <f t="shared" si="0"/>
        <v>130</v>
      </c>
      <c r="J17" s="13">
        <v>14.5</v>
      </c>
    </row>
    <row r="18" s="2" customFormat="1" ht="13.5" customHeight="1" spans="1:10">
      <c r="A18" s="13">
        <v>15</v>
      </c>
      <c r="B18" s="27" t="s">
        <v>45</v>
      </c>
      <c r="C18" s="14" t="s">
        <v>46</v>
      </c>
      <c r="D18" s="17">
        <v>10</v>
      </c>
      <c r="E18" s="13">
        <v>1</v>
      </c>
      <c r="F18" s="13">
        <v>10</v>
      </c>
      <c r="G18" s="13" t="s">
        <v>44</v>
      </c>
      <c r="H18" s="13">
        <v>13</v>
      </c>
      <c r="I18" s="13">
        <f t="shared" si="0"/>
        <v>130</v>
      </c>
      <c r="J18" s="13">
        <v>14.5</v>
      </c>
    </row>
    <row r="19" s="2" customFormat="1" ht="13.5" customHeight="1" spans="1:10">
      <c r="A19" s="13">
        <v>16</v>
      </c>
      <c r="B19" s="27" t="s">
        <v>47</v>
      </c>
      <c r="C19" s="14" t="s">
        <v>48</v>
      </c>
      <c r="D19" s="17">
        <v>10</v>
      </c>
      <c r="E19" s="13">
        <v>1</v>
      </c>
      <c r="F19" s="13">
        <v>10</v>
      </c>
      <c r="G19" s="13" t="s">
        <v>44</v>
      </c>
      <c r="H19" s="13">
        <v>13</v>
      </c>
      <c r="I19" s="13">
        <f t="shared" si="0"/>
        <v>130</v>
      </c>
      <c r="J19" s="13">
        <v>14.5</v>
      </c>
    </row>
    <row r="20" s="2" customFormat="1" ht="13.5" customHeight="1" spans="1:10">
      <c r="A20" s="13">
        <v>17</v>
      </c>
      <c r="B20" s="27" t="s">
        <v>49</v>
      </c>
      <c r="C20" s="14" t="s">
        <v>50</v>
      </c>
      <c r="D20" s="17">
        <v>10</v>
      </c>
      <c r="E20" s="13">
        <v>1</v>
      </c>
      <c r="F20" s="13">
        <v>10</v>
      </c>
      <c r="G20" s="13" t="s">
        <v>44</v>
      </c>
      <c r="H20" s="13">
        <v>13</v>
      </c>
      <c r="I20" s="13">
        <f t="shared" si="0"/>
        <v>130</v>
      </c>
      <c r="J20" s="13">
        <v>14.5</v>
      </c>
    </row>
    <row r="21" s="2" customFormat="1" ht="13.5" customHeight="1" spans="1:10">
      <c r="A21" s="13">
        <v>18</v>
      </c>
      <c r="B21" s="27" t="s">
        <v>51</v>
      </c>
      <c r="C21" s="14" t="s">
        <v>52</v>
      </c>
      <c r="D21" s="17">
        <v>12</v>
      </c>
      <c r="E21" s="13">
        <v>1</v>
      </c>
      <c r="F21" s="13">
        <v>12</v>
      </c>
      <c r="G21" s="13" t="s">
        <v>53</v>
      </c>
      <c r="H21" s="13">
        <v>62</v>
      </c>
      <c r="I21" s="13">
        <f t="shared" si="0"/>
        <v>744</v>
      </c>
      <c r="J21" s="13">
        <v>69</v>
      </c>
    </row>
    <row r="22" s="2" customFormat="1" ht="13.5" customHeight="1" spans="1:10">
      <c r="A22" s="13">
        <v>19</v>
      </c>
      <c r="B22" s="27" t="s">
        <v>54</v>
      </c>
      <c r="C22" s="14" t="s">
        <v>55</v>
      </c>
      <c r="D22" s="17">
        <v>12</v>
      </c>
      <c r="E22" s="13">
        <v>1</v>
      </c>
      <c r="F22" s="13">
        <v>12</v>
      </c>
      <c r="G22" s="13" t="s">
        <v>53</v>
      </c>
      <c r="H22" s="13">
        <v>62</v>
      </c>
      <c r="I22" s="13">
        <f t="shared" si="0"/>
        <v>744</v>
      </c>
      <c r="J22" s="13">
        <v>69</v>
      </c>
    </row>
    <row r="23" s="2" customFormat="1" ht="13.5" customHeight="1" spans="1:10">
      <c r="A23" s="13">
        <v>20</v>
      </c>
      <c r="B23" s="27" t="s">
        <v>56</v>
      </c>
      <c r="C23" s="14" t="s">
        <v>57</v>
      </c>
      <c r="D23" s="17">
        <v>12</v>
      </c>
      <c r="E23" s="13">
        <v>1</v>
      </c>
      <c r="F23" s="13">
        <v>12</v>
      </c>
      <c r="G23" s="13" t="s">
        <v>31</v>
      </c>
      <c r="H23" s="13">
        <v>33</v>
      </c>
      <c r="I23" s="13">
        <f t="shared" si="0"/>
        <v>396</v>
      </c>
      <c r="J23" s="13">
        <v>36.8</v>
      </c>
    </row>
    <row r="24" s="2" customFormat="1" ht="13.5" customHeight="1" spans="1:10">
      <c r="A24" s="13">
        <v>21</v>
      </c>
      <c r="B24" s="27" t="s">
        <v>58</v>
      </c>
      <c r="C24" s="14" t="s">
        <v>59</v>
      </c>
      <c r="D24" s="17">
        <v>12</v>
      </c>
      <c r="E24" s="13">
        <v>1</v>
      </c>
      <c r="F24" s="26">
        <v>12</v>
      </c>
      <c r="G24" s="13" t="s">
        <v>31</v>
      </c>
      <c r="H24" s="13">
        <v>33</v>
      </c>
      <c r="I24" s="13">
        <f t="shared" si="0"/>
        <v>396</v>
      </c>
      <c r="J24" s="13">
        <v>36.8</v>
      </c>
    </row>
    <row r="25" s="2" customFormat="1" ht="13.5" customHeight="1" spans="1:10">
      <c r="A25" s="13">
        <v>22</v>
      </c>
      <c r="B25" s="27" t="s">
        <v>60</v>
      </c>
      <c r="C25" s="14" t="s">
        <v>61</v>
      </c>
      <c r="D25" s="17">
        <v>8</v>
      </c>
      <c r="E25" s="13">
        <v>1</v>
      </c>
      <c r="F25" s="26">
        <v>8</v>
      </c>
      <c r="G25" s="13" t="s">
        <v>53</v>
      </c>
      <c r="H25" s="13">
        <v>18.8</v>
      </c>
      <c r="I25" s="13">
        <f t="shared" si="0"/>
        <v>150.4</v>
      </c>
      <c r="J25" s="13">
        <v>20.9</v>
      </c>
    </row>
    <row r="26" s="2" customFormat="1" ht="13.5" customHeight="1" spans="1:10">
      <c r="A26" s="13">
        <v>23</v>
      </c>
      <c r="B26" s="27" t="s">
        <v>62</v>
      </c>
      <c r="C26" s="14" t="s">
        <v>63</v>
      </c>
      <c r="D26" s="17">
        <v>24</v>
      </c>
      <c r="E26" s="13">
        <v>1</v>
      </c>
      <c r="F26" s="13">
        <v>24</v>
      </c>
      <c r="G26" s="13" t="s">
        <v>53</v>
      </c>
      <c r="H26" s="13">
        <v>16.5</v>
      </c>
      <c r="I26" s="13">
        <f t="shared" si="0"/>
        <v>396</v>
      </c>
      <c r="J26" s="13">
        <v>18.5</v>
      </c>
    </row>
    <row r="27" s="2" customFormat="1" ht="13.5" customHeight="1" spans="1:10">
      <c r="A27" s="13">
        <v>24</v>
      </c>
      <c r="B27" s="13" t="s">
        <v>64</v>
      </c>
      <c r="C27" s="14" t="s">
        <v>65</v>
      </c>
      <c r="D27" s="17">
        <v>10</v>
      </c>
      <c r="E27" s="13">
        <v>1</v>
      </c>
      <c r="F27" s="13">
        <v>10</v>
      </c>
      <c r="G27" s="13" t="s">
        <v>44</v>
      </c>
      <c r="H27" s="13">
        <v>16</v>
      </c>
      <c r="I27" s="13">
        <f t="shared" si="0"/>
        <v>160</v>
      </c>
      <c r="J27" s="13">
        <v>17.8</v>
      </c>
    </row>
    <row r="28" s="2" customFormat="1" ht="13.5" customHeight="1" spans="1:10">
      <c r="A28" s="13">
        <v>25</v>
      </c>
      <c r="B28" s="13" t="s">
        <v>66</v>
      </c>
      <c r="C28" s="14" t="s">
        <v>67</v>
      </c>
      <c r="D28" s="17">
        <v>10</v>
      </c>
      <c r="E28" s="13">
        <v>1</v>
      </c>
      <c r="F28" s="13">
        <v>10</v>
      </c>
      <c r="G28" s="13" t="s">
        <v>44</v>
      </c>
      <c r="H28" s="13">
        <v>8.8</v>
      </c>
      <c r="I28" s="13">
        <f t="shared" si="0"/>
        <v>88</v>
      </c>
      <c r="J28" s="13">
        <v>9.8</v>
      </c>
    </row>
    <row r="29" s="2" customFormat="1" ht="13.5" customHeight="1" spans="1:10">
      <c r="A29" s="13">
        <v>26</v>
      </c>
      <c r="B29" s="13" t="s">
        <v>68</v>
      </c>
      <c r="C29" s="14" t="s">
        <v>69</v>
      </c>
      <c r="D29" s="17">
        <v>10</v>
      </c>
      <c r="E29" s="13">
        <v>1</v>
      </c>
      <c r="F29" s="13">
        <v>10</v>
      </c>
      <c r="G29" s="13" t="s">
        <v>44</v>
      </c>
      <c r="H29" s="13">
        <v>8.8</v>
      </c>
      <c r="I29" s="13">
        <f t="shared" si="0"/>
        <v>88</v>
      </c>
      <c r="J29" s="13">
        <v>9.8</v>
      </c>
    </row>
    <row r="30" s="2" customFormat="1" ht="13.5" customHeight="1" spans="1:10">
      <c r="A30" s="13">
        <v>27</v>
      </c>
      <c r="B30" s="13" t="s">
        <v>70</v>
      </c>
      <c r="C30" s="14" t="s">
        <v>71</v>
      </c>
      <c r="D30" s="17">
        <v>10</v>
      </c>
      <c r="E30" s="13"/>
      <c r="F30" s="13">
        <v>10</v>
      </c>
      <c r="G30" s="13" t="s">
        <v>44</v>
      </c>
      <c r="H30" s="13">
        <v>16</v>
      </c>
      <c r="I30" s="13">
        <f t="shared" si="0"/>
        <v>160</v>
      </c>
      <c r="J30" s="13">
        <v>17.8</v>
      </c>
    </row>
    <row r="31" s="2" customFormat="1" ht="13.5" customHeight="1" spans="1:10">
      <c r="A31" s="13">
        <v>28</v>
      </c>
      <c r="B31" s="27" t="s">
        <v>72</v>
      </c>
      <c r="C31" s="14" t="s">
        <v>73</v>
      </c>
      <c r="D31" s="17">
        <v>12</v>
      </c>
      <c r="E31" s="13">
        <v>1</v>
      </c>
      <c r="F31" s="13">
        <v>12</v>
      </c>
      <c r="G31" s="13" t="s">
        <v>74</v>
      </c>
      <c r="H31" s="13">
        <v>53.5</v>
      </c>
      <c r="I31" s="13">
        <f t="shared" si="0"/>
        <v>642</v>
      </c>
      <c r="J31" s="13">
        <v>59</v>
      </c>
    </row>
    <row r="32" s="2" customFormat="1" ht="13.5" customHeight="1" spans="1:10">
      <c r="A32" s="13">
        <v>29</v>
      </c>
      <c r="B32" s="27" t="s">
        <v>75</v>
      </c>
      <c r="C32" s="14" t="s">
        <v>76</v>
      </c>
      <c r="D32" s="17">
        <v>8</v>
      </c>
      <c r="E32" s="13">
        <v>1</v>
      </c>
      <c r="F32" s="26">
        <v>8</v>
      </c>
      <c r="G32" s="13" t="s">
        <v>74</v>
      </c>
      <c r="H32" s="13">
        <v>78</v>
      </c>
      <c r="I32" s="13">
        <f t="shared" si="0"/>
        <v>624</v>
      </c>
      <c r="J32" s="13">
        <v>87</v>
      </c>
    </row>
    <row r="33" s="2" customFormat="1" ht="13.5" customHeight="1" spans="1:10">
      <c r="A33" s="13">
        <v>30</v>
      </c>
      <c r="B33" s="27" t="s">
        <v>77</v>
      </c>
      <c r="C33" s="14" t="s">
        <v>78</v>
      </c>
      <c r="D33" s="17">
        <v>12</v>
      </c>
      <c r="E33" s="13">
        <v>1</v>
      </c>
      <c r="F33" s="26">
        <v>12</v>
      </c>
      <c r="G33" s="13" t="s">
        <v>53</v>
      </c>
      <c r="H33" s="13">
        <v>40</v>
      </c>
      <c r="I33" s="13">
        <f t="shared" si="0"/>
        <v>480</v>
      </c>
      <c r="J33" s="13">
        <v>45</v>
      </c>
    </row>
    <row r="34" s="2" customFormat="1" ht="13.5" customHeight="1" spans="1:10">
      <c r="A34" s="13">
        <v>31</v>
      </c>
      <c r="B34" s="27" t="s">
        <v>79</v>
      </c>
      <c r="C34" s="14" t="s">
        <v>80</v>
      </c>
      <c r="D34" s="17">
        <v>1</v>
      </c>
      <c r="E34" s="13">
        <v>10</v>
      </c>
      <c r="F34" s="13">
        <v>10</v>
      </c>
      <c r="G34" s="13" t="s">
        <v>81</v>
      </c>
      <c r="H34" s="13">
        <v>71</v>
      </c>
      <c r="I34" s="13">
        <f t="shared" si="0"/>
        <v>710</v>
      </c>
      <c r="J34" s="13">
        <v>78</v>
      </c>
    </row>
    <row r="35" s="2" customFormat="1" ht="13.5" customHeight="1" spans="1:10">
      <c r="A35" s="13">
        <v>32</v>
      </c>
      <c r="B35" s="27" t="s">
        <v>82</v>
      </c>
      <c r="C35" s="14" t="s">
        <v>83</v>
      </c>
      <c r="D35" s="17">
        <v>8</v>
      </c>
      <c r="E35" s="13">
        <v>1</v>
      </c>
      <c r="F35" s="13">
        <v>8</v>
      </c>
      <c r="G35" s="13" t="s">
        <v>81</v>
      </c>
      <c r="H35" s="13">
        <v>58</v>
      </c>
      <c r="I35" s="13">
        <f t="shared" si="0"/>
        <v>464</v>
      </c>
      <c r="J35" s="13">
        <v>65</v>
      </c>
    </row>
    <row r="36" s="2" customFormat="1" ht="13.5" customHeight="1" spans="1:10">
      <c r="A36" s="13">
        <v>33</v>
      </c>
      <c r="B36" s="27" t="s">
        <v>84</v>
      </c>
      <c r="C36" s="14" t="s">
        <v>85</v>
      </c>
      <c r="D36" s="17">
        <v>15</v>
      </c>
      <c r="E36" s="13">
        <v>1</v>
      </c>
      <c r="F36" s="13">
        <v>15</v>
      </c>
      <c r="G36" s="13" t="s">
        <v>74</v>
      </c>
      <c r="H36" s="13">
        <v>9.9</v>
      </c>
      <c r="I36" s="13">
        <f t="shared" si="0"/>
        <v>148.5</v>
      </c>
      <c r="J36" s="13">
        <v>11.2</v>
      </c>
    </row>
    <row r="37" s="2" customFormat="1" ht="13.5" customHeight="1" spans="1:10">
      <c r="A37" s="13">
        <v>34</v>
      </c>
      <c r="B37" s="27" t="s">
        <v>86</v>
      </c>
      <c r="C37" s="14" t="s">
        <v>87</v>
      </c>
      <c r="D37" s="17">
        <v>15</v>
      </c>
      <c r="E37" s="13">
        <v>1</v>
      </c>
      <c r="F37" s="13">
        <v>15</v>
      </c>
      <c r="G37" s="13" t="s">
        <v>74</v>
      </c>
      <c r="H37" s="13">
        <v>11</v>
      </c>
      <c r="I37" s="13">
        <f t="shared" si="0"/>
        <v>165</v>
      </c>
      <c r="J37" s="13">
        <v>12.5</v>
      </c>
    </row>
    <row r="38" s="2" customFormat="1" ht="13.5" customHeight="1" spans="1:10">
      <c r="A38" s="13">
        <v>35</v>
      </c>
      <c r="B38" s="27" t="s">
        <v>88</v>
      </c>
      <c r="C38" s="14" t="s">
        <v>89</v>
      </c>
      <c r="D38" s="17">
        <v>15</v>
      </c>
      <c r="E38" s="13">
        <v>1</v>
      </c>
      <c r="F38" s="26">
        <v>15</v>
      </c>
      <c r="G38" s="13" t="s">
        <v>90</v>
      </c>
      <c r="H38" s="13">
        <v>12.8</v>
      </c>
      <c r="I38" s="13">
        <f t="shared" si="0"/>
        <v>192</v>
      </c>
      <c r="J38" s="13">
        <v>14.5</v>
      </c>
    </row>
    <row r="39" s="2" customFormat="1" ht="13.5" customHeight="1" spans="1:10">
      <c r="A39" s="13">
        <v>36</v>
      </c>
      <c r="B39" s="27" t="s">
        <v>91</v>
      </c>
      <c r="C39" s="14" t="s">
        <v>92</v>
      </c>
      <c r="D39" s="17">
        <v>10</v>
      </c>
      <c r="E39" s="13">
        <v>1</v>
      </c>
      <c r="F39" s="13">
        <v>10</v>
      </c>
      <c r="G39" s="13" t="s">
        <v>74</v>
      </c>
      <c r="H39" s="13">
        <v>13</v>
      </c>
      <c r="I39" s="13">
        <f t="shared" si="0"/>
        <v>130</v>
      </c>
      <c r="J39" s="13">
        <v>14.5</v>
      </c>
    </row>
    <row r="40" s="2" customFormat="1" ht="13.5" customHeight="1" spans="1:10">
      <c r="A40" s="13">
        <v>37</v>
      </c>
      <c r="B40" s="27" t="s">
        <v>93</v>
      </c>
      <c r="C40" s="14" t="s">
        <v>94</v>
      </c>
      <c r="D40" s="17">
        <v>12</v>
      </c>
      <c r="E40" s="13">
        <v>1</v>
      </c>
      <c r="F40" s="13">
        <v>12</v>
      </c>
      <c r="G40" s="13" t="s">
        <v>53</v>
      </c>
      <c r="H40" s="13">
        <v>4.5</v>
      </c>
      <c r="I40" s="13">
        <f t="shared" si="0"/>
        <v>54</v>
      </c>
      <c r="J40" s="13">
        <v>5</v>
      </c>
    </row>
    <row r="41" s="2" customFormat="1" ht="13.5" customHeight="1" spans="1:10">
      <c r="A41" s="13">
        <v>38</v>
      </c>
      <c r="B41" s="27" t="s">
        <v>95</v>
      </c>
      <c r="C41" s="14" t="s">
        <v>96</v>
      </c>
      <c r="D41" s="17">
        <v>4</v>
      </c>
      <c r="E41" s="13">
        <v>10</v>
      </c>
      <c r="F41" s="13">
        <v>40</v>
      </c>
      <c r="G41" s="13" t="s">
        <v>97</v>
      </c>
      <c r="H41" s="13">
        <v>8.6</v>
      </c>
      <c r="I41" s="13">
        <f t="shared" si="0"/>
        <v>344</v>
      </c>
      <c r="J41" s="13">
        <v>9.7</v>
      </c>
    </row>
    <row r="42" s="2" customFormat="1" ht="13.5" customHeight="1" spans="1:10">
      <c r="A42" s="13">
        <v>39</v>
      </c>
      <c r="B42" s="27" t="s">
        <v>98</v>
      </c>
      <c r="C42" s="14" t="s">
        <v>99</v>
      </c>
      <c r="D42" s="17">
        <v>12</v>
      </c>
      <c r="E42" s="13">
        <v>6</v>
      </c>
      <c r="F42" s="13">
        <v>72</v>
      </c>
      <c r="G42" s="13" t="s">
        <v>53</v>
      </c>
      <c r="H42" s="13">
        <v>2.5</v>
      </c>
      <c r="I42" s="13">
        <f t="shared" si="0"/>
        <v>180</v>
      </c>
      <c r="J42" s="13">
        <v>2.8</v>
      </c>
    </row>
    <row r="43" s="2" customFormat="1" ht="13.5" customHeight="1" spans="1:10">
      <c r="A43" s="13"/>
      <c r="B43" s="13"/>
      <c r="C43" s="13" t="s">
        <v>100</v>
      </c>
      <c r="D43" s="13"/>
      <c r="E43" s="25">
        <f>SUM(E4:E42)</f>
        <v>50</v>
      </c>
      <c r="F43" s="13"/>
      <c r="G43" s="13"/>
      <c r="H43" s="13"/>
      <c r="I43" s="13">
        <f>SUM(I4:I42)</f>
        <v>10943.4</v>
      </c>
      <c r="J43" s="18"/>
    </row>
    <row r="44" s="2" customFormat="1" ht="13.5" customHeight="1" spans="1:10">
      <c r="A44" s="9" t="s">
        <v>101</v>
      </c>
      <c r="B44" s="12"/>
      <c r="C44" s="9" t="s">
        <v>102</v>
      </c>
      <c r="D44" s="12"/>
      <c r="E44" s="12" t="s">
        <v>103</v>
      </c>
      <c r="F44" s="12"/>
      <c r="G44" s="12"/>
      <c r="H44" s="12"/>
      <c r="I44" s="12"/>
    </row>
    <row r="45" s="3" customFormat="1" ht="17.25" spans="1:10">
      <c r="A45" s="19"/>
      <c r="B45" s="19"/>
      <c r="C45" s="20"/>
      <c r="D45" s="19"/>
      <c r="E45" s="19"/>
      <c r="F45" s="19"/>
      <c r="G45" s="19"/>
      <c r="H45" s="19"/>
      <c r="I45" s="19"/>
    </row>
  </sheetData>
  <mergeCells count="2">
    <mergeCell ref="A1:J1"/>
    <mergeCell ref="F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21" sqref="C21"/>
    </sheetView>
  </sheetViews>
  <sheetFormatPr defaultColWidth="9" defaultRowHeight="16.5"/>
  <cols>
    <col min="1" max="1" width="5.25" style="4" customWidth="1"/>
    <col min="2" max="2" width="18.375" style="4" customWidth="1"/>
    <col min="3" max="3" width="35.625" style="5" customWidth="1"/>
    <col min="4" max="4" width="5.875" style="4" customWidth="1"/>
    <col min="5" max="5" width="6.5" style="4" customWidth="1"/>
    <col min="6" max="7" width="4.625" style="4" customWidth="1"/>
    <col min="8" max="8" width="6.25" style="4" customWidth="1"/>
    <col min="9" max="9" width="9.875" style="4" customWidth="1"/>
    <col min="10" max="10" width="7.875" style="6" customWidth="1"/>
    <col min="11" max="11" width="17.15" style="6" customWidth="1"/>
    <col min="12" max="16384" width="9" style="6"/>
  </cols>
  <sheetData>
    <row r="1" s="22" customFormat="1" ht="16" customHeight="1" spans="1:10">
      <c r="A1" s="23" t="s">
        <v>104</v>
      </c>
      <c r="B1" s="23"/>
      <c r="C1" s="24"/>
      <c r="D1" s="23"/>
      <c r="E1" s="23"/>
      <c r="F1" s="23"/>
      <c r="G1" s="23"/>
      <c r="H1" s="23"/>
      <c r="I1" s="23"/>
      <c r="J1" s="23"/>
    </row>
    <row r="2" s="2" customFormat="1" ht="13.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45975</v>
      </c>
      <c r="G2" s="11"/>
      <c r="H2" s="11"/>
      <c r="I2" s="12"/>
    </row>
    <row r="3" s="2" customFormat="1" ht="13.5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3.5" customHeight="1" spans="1:10">
      <c r="A4" s="13">
        <v>1</v>
      </c>
      <c r="B4" s="27" t="s">
        <v>105</v>
      </c>
      <c r="C4" s="14" t="s">
        <v>106</v>
      </c>
      <c r="D4" s="17">
        <v>24</v>
      </c>
      <c r="E4" s="13">
        <v>0</v>
      </c>
      <c r="F4" s="13">
        <v>-1</v>
      </c>
      <c r="G4" s="13" t="s">
        <v>74</v>
      </c>
      <c r="H4" s="13">
        <v>11.5</v>
      </c>
      <c r="I4" s="13">
        <f t="shared" ref="I4:I10" si="0">H4*F4</f>
        <v>-11.5</v>
      </c>
      <c r="J4" s="13"/>
    </row>
    <row r="5" s="2" customFormat="1" ht="13.5" customHeight="1" spans="1:10">
      <c r="A5" s="13">
        <v>2</v>
      </c>
      <c r="B5" s="27" t="s">
        <v>107</v>
      </c>
      <c r="C5" s="14" t="s">
        <v>108</v>
      </c>
      <c r="D5" s="17">
        <v>20</v>
      </c>
      <c r="E5" s="13">
        <v>0</v>
      </c>
      <c r="F5" s="13">
        <v>-1</v>
      </c>
      <c r="G5" s="13" t="s">
        <v>97</v>
      </c>
      <c r="H5" s="13">
        <v>8.6</v>
      </c>
      <c r="I5" s="13">
        <f t="shared" si="0"/>
        <v>-8.6</v>
      </c>
      <c r="J5" s="13"/>
    </row>
    <row r="6" s="2" customFormat="1" ht="13.5" customHeight="1" spans="1:10">
      <c r="A6" s="13">
        <v>3</v>
      </c>
      <c r="B6" s="27" t="s">
        <v>109</v>
      </c>
      <c r="C6" s="14" t="s">
        <v>110</v>
      </c>
      <c r="D6" s="17">
        <v>16</v>
      </c>
      <c r="E6" s="13">
        <v>0</v>
      </c>
      <c r="F6" s="13">
        <v>-1</v>
      </c>
      <c r="G6" s="13" t="s">
        <v>74</v>
      </c>
      <c r="H6" s="13">
        <v>8.5</v>
      </c>
      <c r="I6" s="13">
        <f t="shared" si="0"/>
        <v>-8.5</v>
      </c>
      <c r="J6" s="13"/>
    </row>
    <row r="7" s="2" customFormat="1" ht="13.5" customHeight="1" spans="1:10">
      <c r="A7" s="13">
        <v>4</v>
      </c>
      <c r="B7" s="27" t="s">
        <v>111</v>
      </c>
      <c r="C7" s="14" t="s">
        <v>112</v>
      </c>
      <c r="D7" s="17">
        <v>20</v>
      </c>
      <c r="E7" s="13">
        <v>0</v>
      </c>
      <c r="F7" s="13">
        <v>-1</v>
      </c>
      <c r="G7" s="13" t="s">
        <v>74</v>
      </c>
      <c r="H7" s="13">
        <v>22.4</v>
      </c>
      <c r="I7" s="13">
        <f t="shared" si="0"/>
        <v>-22.4</v>
      </c>
      <c r="J7" s="13"/>
    </row>
    <row r="8" s="2" customFormat="1" ht="13.5" customHeight="1" spans="1:10">
      <c r="A8" s="13">
        <v>5</v>
      </c>
      <c r="B8" s="27" t="s">
        <v>113</v>
      </c>
      <c r="C8" s="14" t="s">
        <v>114</v>
      </c>
      <c r="D8" s="17">
        <v>24</v>
      </c>
      <c r="E8" s="13">
        <v>0</v>
      </c>
      <c r="F8" s="13">
        <v>-1</v>
      </c>
      <c r="G8" s="13" t="s">
        <v>115</v>
      </c>
      <c r="H8" s="13">
        <v>7.9</v>
      </c>
      <c r="I8" s="13">
        <f t="shared" si="0"/>
        <v>-7.9</v>
      </c>
      <c r="J8" s="13"/>
    </row>
    <row r="9" s="2" customFormat="1" ht="13.5" customHeight="1" spans="1:10">
      <c r="A9" s="13">
        <v>6</v>
      </c>
      <c r="B9" s="27" t="s">
        <v>116</v>
      </c>
      <c r="C9" s="14" t="s">
        <v>117</v>
      </c>
      <c r="D9" s="17">
        <v>18</v>
      </c>
      <c r="E9" s="13">
        <v>0</v>
      </c>
      <c r="F9" s="13">
        <v>-1</v>
      </c>
      <c r="G9" s="13" t="s">
        <v>31</v>
      </c>
      <c r="H9" s="13">
        <v>9.4</v>
      </c>
      <c r="I9" s="13">
        <f t="shared" si="0"/>
        <v>-9.4</v>
      </c>
      <c r="J9" s="13"/>
    </row>
    <row r="10" s="2" customFormat="1" ht="13.5" customHeight="1" spans="1:10">
      <c r="A10" s="13">
        <v>7</v>
      </c>
      <c r="B10" s="27" t="s">
        <v>118</v>
      </c>
      <c r="C10" s="14" t="s">
        <v>119</v>
      </c>
      <c r="D10" s="17">
        <v>18</v>
      </c>
      <c r="E10" s="13">
        <v>0</v>
      </c>
      <c r="F10" s="13">
        <v>-1</v>
      </c>
      <c r="G10" s="13" t="s">
        <v>31</v>
      </c>
      <c r="H10" s="13">
        <v>9.4</v>
      </c>
      <c r="I10" s="13">
        <f t="shared" si="0"/>
        <v>-9.4</v>
      </c>
      <c r="J10" s="13"/>
    </row>
    <row r="11" s="2" customFormat="1" ht="13.5" customHeight="1" spans="1:10">
      <c r="A11" s="13"/>
      <c r="B11" s="13"/>
      <c r="C11" s="13" t="s">
        <v>100</v>
      </c>
      <c r="D11" s="13"/>
      <c r="E11" s="25">
        <f>SUM(E4:E10)</f>
        <v>0</v>
      </c>
      <c r="F11" s="13"/>
      <c r="G11" s="13"/>
      <c r="H11" s="13"/>
      <c r="I11" s="13">
        <f>SUM(I4:I10)</f>
        <v>-77.7</v>
      </c>
      <c r="J11" s="18"/>
    </row>
    <row r="12" s="2" customFormat="1" ht="13.5" customHeight="1" spans="1:10">
      <c r="A12" s="9" t="s">
        <v>101</v>
      </c>
      <c r="B12" s="12"/>
      <c r="C12" s="9" t="s">
        <v>102</v>
      </c>
      <c r="D12" s="12"/>
      <c r="E12" s="12" t="s">
        <v>103</v>
      </c>
      <c r="F12" s="12"/>
      <c r="G12" s="12"/>
      <c r="H12" s="12"/>
      <c r="I12" s="12"/>
    </row>
    <row r="13" s="3" customFormat="1" ht="17.25" spans="1:10">
      <c r="A13" s="19"/>
      <c r="B13" s="19"/>
      <c r="C13" s="20"/>
      <c r="D13" s="19"/>
      <c r="E13" s="19"/>
      <c r="F13" s="19"/>
      <c r="G13" s="19"/>
      <c r="H13" s="19"/>
      <c r="I13" s="19"/>
    </row>
  </sheetData>
  <mergeCells count="2">
    <mergeCell ref="A1:J1"/>
    <mergeCell ref="F2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K24" sqref="K24"/>
    </sheetView>
  </sheetViews>
  <sheetFormatPr defaultColWidth="9" defaultRowHeight="16.5" outlineLevelRow="6"/>
  <cols>
    <col min="1" max="1" width="5.25" style="4" customWidth="1"/>
    <col min="2" max="2" width="25.25" style="4" customWidth="1"/>
    <col min="3" max="3" width="25.375" style="5" customWidth="1"/>
    <col min="4" max="4" width="4.625" style="4" customWidth="1"/>
    <col min="5" max="5" width="8.375" style="4" customWidth="1"/>
    <col min="6" max="7" width="4.625" style="4" customWidth="1"/>
    <col min="8" max="8" width="6.25" style="4" customWidth="1"/>
    <col min="9" max="9" width="7.875" style="4" customWidth="1"/>
    <col min="10" max="10" width="7.875" style="6" customWidth="1"/>
    <col min="11" max="11" width="17.15" style="6" customWidth="1"/>
    <col min="12" max="16384" width="9" style="6"/>
  </cols>
  <sheetData>
    <row r="1" s="1" customFormat="1" ht="22.5" spans="1:10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8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45975</v>
      </c>
      <c r="G2" s="11"/>
      <c r="H2" s="11"/>
      <c r="I2" s="12"/>
    </row>
    <row r="3" s="2" customFormat="1" ht="18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8" customHeight="1" spans="1:10">
      <c r="A4" s="13">
        <v>1</v>
      </c>
      <c r="B4" s="15"/>
      <c r="C4" s="16" t="s">
        <v>120</v>
      </c>
      <c r="D4" s="17">
        <v>1</v>
      </c>
      <c r="E4" s="13">
        <v>1</v>
      </c>
      <c r="F4" s="13">
        <v>1</v>
      </c>
      <c r="G4" s="13" t="s">
        <v>121</v>
      </c>
      <c r="H4" s="13">
        <v>723</v>
      </c>
      <c r="I4" s="13">
        <f>H4*F4</f>
        <v>723</v>
      </c>
      <c r="J4" s="13">
        <v>770</v>
      </c>
    </row>
    <row r="5" s="2" customFormat="1" ht="18" customHeight="1" spans="1:10">
      <c r="A5" s="13"/>
      <c r="B5" s="13"/>
      <c r="C5" s="13" t="s">
        <v>100</v>
      </c>
      <c r="D5" s="13"/>
      <c r="E5" s="13">
        <f>SUM(E4:E4)</f>
        <v>1</v>
      </c>
      <c r="F5" s="13"/>
      <c r="G5" s="13"/>
      <c r="H5" s="13"/>
      <c r="I5" s="13">
        <f>SUM(I4:I4)</f>
        <v>723</v>
      </c>
      <c r="J5" s="18"/>
    </row>
    <row r="6" s="2" customFormat="1" ht="18" customHeight="1" spans="1:10">
      <c r="A6" s="9" t="s">
        <v>101</v>
      </c>
      <c r="B6" s="12"/>
      <c r="C6" s="9" t="s">
        <v>102</v>
      </c>
      <c r="D6" s="12"/>
      <c r="E6" s="12" t="s">
        <v>103</v>
      </c>
      <c r="F6" s="12"/>
      <c r="G6" s="12"/>
      <c r="H6" s="12"/>
      <c r="I6" s="12"/>
    </row>
    <row r="7" s="3" customFormat="1" ht="17.25" spans="1:10">
      <c r="A7" s="19"/>
      <c r="B7" s="19"/>
      <c r="C7" s="20"/>
      <c r="D7" s="19"/>
      <c r="E7" s="19"/>
      <c r="F7" s="19"/>
      <c r="G7" s="19"/>
      <c r="H7" s="19"/>
      <c r="I7" s="19"/>
    </row>
  </sheetData>
  <mergeCells count="2">
    <mergeCell ref="A1:J1"/>
    <mergeCell ref="F2:H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1"/>
  <sheetViews>
    <sheetView workbookViewId="0">
      <selection activeCell="P7" sqref="P7"/>
    </sheetView>
  </sheetViews>
  <sheetFormatPr defaultColWidth="9" defaultRowHeight="16.5"/>
  <cols>
    <col min="1" max="1" width="0.875" style="6" customWidth="1"/>
    <col min="2" max="2" width="5.25" style="4" customWidth="1"/>
    <col min="3" max="3" width="18.375" style="4" customWidth="1"/>
    <col min="4" max="4" width="35.625" style="5" customWidth="1"/>
    <col min="5" max="5" width="5.875" style="4" customWidth="1"/>
    <col min="6" max="6" width="6.5" style="4" customWidth="1"/>
    <col min="7" max="8" width="4.625" style="4" customWidth="1"/>
    <col min="9" max="9" width="6.25" style="4" customWidth="1"/>
    <col min="10" max="10" width="9.875" style="4" customWidth="1"/>
    <col min="11" max="11" width="7.875" style="6" customWidth="1"/>
    <col min="12" max="12" width="17.15" style="6" customWidth="1"/>
    <col min="13" max="16384" width="9" style="6"/>
  </cols>
  <sheetData>
    <row r="1" s="22" customFormat="1" ht="16" customHeight="1" spans="2:11">
      <c r="B1" s="23" t="s">
        <v>0</v>
      </c>
      <c r="C1" s="23"/>
      <c r="D1" s="24"/>
      <c r="E1" s="23"/>
      <c r="F1" s="23"/>
      <c r="G1" s="23"/>
      <c r="H1" s="23"/>
      <c r="I1" s="23"/>
      <c r="J1" s="23"/>
      <c r="K1" s="23"/>
    </row>
    <row r="2" s="2" customFormat="1" ht="13.5" customHeight="1" spans="2:11">
      <c r="B2" s="9" t="s">
        <v>1</v>
      </c>
      <c r="C2" s="9" t="s">
        <v>2</v>
      </c>
      <c r="D2" s="9"/>
      <c r="E2" s="10"/>
      <c r="F2" s="10" t="s">
        <v>3</v>
      </c>
      <c r="G2" s="11">
        <v>45975</v>
      </c>
      <c r="H2" s="11"/>
      <c r="I2" s="11"/>
      <c r="J2" s="12"/>
    </row>
    <row r="3" s="2" customFormat="1" ht="13.5" customHeight="1" spans="2:11">
      <c r="B3" s="13" t="s">
        <v>4</v>
      </c>
      <c r="C3" s="13" t="s">
        <v>5</v>
      </c>
      <c r="D3" s="14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</row>
    <row r="4" s="2" customFormat="1" ht="13.5" customHeight="1" spans="2:11">
      <c r="B4" s="13">
        <v>1</v>
      </c>
      <c r="C4" s="27" t="s">
        <v>122</v>
      </c>
      <c r="D4" s="14" t="s">
        <v>123</v>
      </c>
      <c r="E4" s="17">
        <v>15</v>
      </c>
      <c r="F4" s="13">
        <v>5</v>
      </c>
      <c r="G4" s="13">
        <v>75</v>
      </c>
      <c r="H4" s="13" t="s">
        <v>53</v>
      </c>
      <c r="I4" s="13">
        <v>4.6</v>
      </c>
      <c r="J4" s="13">
        <f t="shared" ref="J4:J38" si="0">I4*G4</f>
        <v>345</v>
      </c>
      <c r="K4" s="13">
        <v>5</v>
      </c>
    </row>
    <row r="5" s="2" customFormat="1" ht="13.5" customHeight="1" spans="2:11">
      <c r="B5" s="13">
        <v>2</v>
      </c>
      <c r="C5" s="27" t="s">
        <v>124</v>
      </c>
      <c r="D5" s="14" t="s">
        <v>125</v>
      </c>
      <c r="E5" s="17">
        <v>12</v>
      </c>
      <c r="F5" s="13">
        <v>2</v>
      </c>
      <c r="G5" s="13">
        <v>24</v>
      </c>
      <c r="H5" s="13" t="s">
        <v>53</v>
      </c>
      <c r="I5" s="13">
        <v>7</v>
      </c>
      <c r="J5" s="13">
        <f t="shared" si="0"/>
        <v>168</v>
      </c>
      <c r="K5" s="13">
        <v>7.8</v>
      </c>
    </row>
    <row r="6" s="2" customFormat="1" ht="13.5" customHeight="1" spans="2:11">
      <c r="B6" s="13">
        <v>3</v>
      </c>
      <c r="C6" s="27" t="s">
        <v>126</v>
      </c>
      <c r="D6" s="14" t="s">
        <v>127</v>
      </c>
      <c r="E6" s="17">
        <v>6</v>
      </c>
      <c r="F6" s="13">
        <v>4</v>
      </c>
      <c r="G6" s="13">
        <v>24</v>
      </c>
      <c r="H6" s="13" t="s">
        <v>81</v>
      </c>
      <c r="I6" s="13">
        <v>55</v>
      </c>
      <c r="J6" s="13">
        <f t="shared" si="0"/>
        <v>1320</v>
      </c>
      <c r="K6" s="13">
        <v>62</v>
      </c>
    </row>
    <row r="7" s="2" customFormat="1" ht="13.5" customHeight="1" spans="2:11">
      <c r="B7" s="13">
        <v>4</v>
      </c>
      <c r="C7" s="27" t="s">
        <v>128</v>
      </c>
      <c r="D7" s="14" t="s">
        <v>129</v>
      </c>
      <c r="E7" s="17">
        <v>15</v>
      </c>
      <c r="F7" s="13">
        <v>5</v>
      </c>
      <c r="G7" s="13">
        <v>75</v>
      </c>
      <c r="H7" s="13" t="s">
        <v>53</v>
      </c>
      <c r="I7" s="13">
        <v>5.4</v>
      </c>
      <c r="J7" s="13">
        <f t="shared" si="0"/>
        <v>405</v>
      </c>
      <c r="K7" s="13">
        <v>6</v>
      </c>
    </row>
    <row r="8" s="2" customFormat="1" ht="13.5" customHeight="1" spans="2:11">
      <c r="B8" s="13">
        <v>5</v>
      </c>
      <c r="C8" s="27" t="s">
        <v>130</v>
      </c>
      <c r="D8" s="14" t="s">
        <v>131</v>
      </c>
      <c r="E8" s="17">
        <v>12</v>
      </c>
      <c r="F8" s="13">
        <v>3</v>
      </c>
      <c r="G8" s="26">
        <v>36</v>
      </c>
      <c r="H8" s="13" t="s">
        <v>53</v>
      </c>
      <c r="I8" s="13">
        <v>15</v>
      </c>
      <c r="J8" s="13">
        <f t="shared" si="0"/>
        <v>540</v>
      </c>
      <c r="K8" s="13">
        <v>16.8</v>
      </c>
    </row>
    <row r="9" s="2" customFormat="1" ht="13.5" customHeight="1" spans="2:11">
      <c r="B9" s="13">
        <v>6</v>
      </c>
      <c r="C9" s="27" t="s">
        <v>132</v>
      </c>
      <c r="D9" s="14" t="s">
        <v>133</v>
      </c>
      <c r="E9" s="17">
        <v>12</v>
      </c>
      <c r="F9" s="13">
        <v>1</v>
      </c>
      <c r="G9" s="26">
        <v>12</v>
      </c>
      <c r="H9" s="13" t="s">
        <v>74</v>
      </c>
      <c r="I9" s="13">
        <v>12.5</v>
      </c>
      <c r="J9" s="13">
        <f t="shared" si="0"/>
        <v>150</v>
      </c>
      <c r="K9" s="13">
        <v>13.9</v>
      </c>
    </row>
    <row r="10" s="2" customFormat="1" ht="13.5" customHeight="1" spans="2:11">
      <c r="B10" s="13">
        <v>7</v>
      </c>
      <c r="C10" s="27" t="s">
        <v>134</v>
      </c>
      <c r="D10" s="14" t="s">
        <v>135</v>
      </c>
      <c r="E10" s="17">
        <v>12</v>
      </c>
      <c r="F10" s="13">
        <v>1</v>
      </c>
      <c r="G10" s="13">
        <v>12</v>
      </c>
      <c r="H10" s="13" t="s">
        <v>74</v>
      </c>
      <c r="I10" s="13">
        <v>12.5</v>
      </c>
      <c r="J10" s="13">
        <f t="shared" si="0"/>
        <v>150</v>
      </c>
      <c r="K10" s="13">
        <v>13.9</v>
      </c>
    </row>
    <row r="11" s="2" customFormat="1" ht="13.5" customHeight="1" spans="2:11">
      <c r="B11" s="13">
        <v>8</v>
      </c>
      <c r="C11" s="27" t="s">
        <v>136</v>
      </c>
      <c r="D11" s="14" t="s">
        <v>137</v>
      </c>
      <c r="E11" s="17">
        <v>4</v>
      </c>
      <c r="F11" s="13">
        <v>4</v>
      </c>
      <c r="G11" s="13">
        <v>16</v>
      </c>
      <c r="H11" s="13" t="s">
        <v>31</v>
      </c>
      <c r="I11" s="13">
        <v>16</v>
      </c>
      <c r="J11" s="13">
        <f t="shared" si="0"/>
        <v>256</v>
      </c>
      <c r="K11" s="13">
        <v>17.8</v>
      </c>
    </row>
    <row r="12" s="2" customFormat="1" ht="13.5" customHeight="1" spans="2:11">
      <c r="B12" s="13">
        <v>9</v>
      </c>
      <c r="C12" s="13">
        <v>69025143</v>
      </c>
      <c r="D12" s="14" t="s">
        <v>138</v>
      </c>
      <c r="E12" s="17">
        <v>6</v>
      </c>
      <c r="F12" s="13">
        <v>2</v>
      </c>
      <c r="G12" s="13">
        <v>12</v>
      </c>
      <c r="H12" s="13" t="s">
        <v>53</v>
      </c>
      <c r="I12" s="13">
        <v>12</v>
      </c>
      <c r="J12" s="13">
        <f t="shared" si="0"/>
        <v>144</v>
      </c>
      <c r="K12" s="13">
        <v>13.5</v>
      </c>
    </row>
    <row r="13" s="2" customFormat="1" ht="13.5" customHeight="1" spans="2:11">
      <c r="B13" s="13">
        <v>10</v>
      </c>
      <c r="C13" s="27" t="s">
        <v>139</v>
      </c>
      <c r="D13" s="14" t="s">
        <v>140</v>
      </c>
      <c r="E13" s="17">
        <v>6</v>
      </c>
      <c r="F13" s="13">
        <v>2</v>
      </c>
      <c r="G13" s="13">
        <v>12</v>
      </c>
      <c r="H13" s="13" t="s">
        <v>53</v>
      </c>
      <c r="I13" s="13">
        <v>12</v>
      </c>
      <c r="J13" s="13">
        <f t="shared" si="0"/>
        <v>144</v>
      </c>
      <c r="K13" s="13">
        <v>13.5</v>
      </c>
    </row>
    <row r="14" s="2" customFormat="1" ht="13.5" customHeight="1" spans="2:11">
      <c r="B14" s="13">
        <v>11</v>
      </c>
      <c r="C14" s="27" t="s">
        <v>141</v>
      </c>
      <c r="D14" s="14" t="s">
        <v>142</v>
      </c>
      <c r="E14" s="17">
        <v>6</v>
      </c>
      <c r="F14" s="13">
        <v>2</v>
      </c>
      <c r="G14" s="26">
        <v>12</v>
      </c>
      <c r="H14" s="13" t="s">
        <v>53</v>
      </c>
      <c r="I14" s="13">
        <v>12</v>
      </c>
      <c r="J14" s="13">
        <f t="shared" si="0"/>
        <v>144</v>
      </c>
      <c r="K14" s="13">
        <v>13.5</v>
      </c>
    </row>
    <row r="15" s="2" customFormat="1" ht="13.5" customHeight="1" spans="2:11">
      <c r="B15" s="13">
        <v>12</v>
      </c>
      <c r="C15" s="27" t="s">
        <v>143</v>
      </c>
      <c r="D15" s="14" t="s">
        <v>144</v>
      </c>
      <c r="E15" s="17">
        <v>6</v>
      </c>
      <c r="F15" s="13">
        <v>2</v>
      </c>
      <c r="G15" s="13">
        <v>12</v>
      </c>
      <c r="H15" s="13" t="s">
        <v>53</v>
      </c>
      <c r="I15" s="13">
        <v>12</v>
      </c>
      <c r="J15" s="13">
        <f t="shared" si="0"/>
        <v>144</v>
      </c>
      <c r="K15" s="13">
        <v>13.5</v>
      </c>
    </row>
    <row r="16" s="2" customFormat="1" ht="13.5" customHeight="1" spans="2:11">
      <c r="B16" s="13">
        <v>13</v>
      </c>
      <c r="C16" s="27" t="s">
        <v>145</v>
      </c>
      <c r="D16" s="14" t="s">
        <v>146</v>
      </c>
      <c r="E16" s="17">
        <v>6</v>
      </c>
      <c r="F16" s="13">
        <v>2</v>
      </c>
      <c r="G16" s="13">
        <v>12</v>
      </c>
      <c r="H16" s="13" t="s">
        <v>53</v>
      </c>
      <c r="I16" s="13">
        <v>12</v>
      </c>
      <c r="J16" s="13">
        <f t="shared" si="0"/>
        <v>144</v>
      </c>
      <c r="K16" s="13">
        <v>13.5</v>
      </c>
    </row>
    <row r="17" s="2" customFormat="1" ht="13.5" customHeight="1" spans="2:11">
      <c r="B17" s="13">
        <v>14</v>
      </c>
      <c r="C17" s="27" t="s">
        <v>147</v>
      </c>
      <c r="D17" s="14" t="s">
        <v>148</v>
      </c>
      <c r="E17" s="17">
        <v>6</v>
      </c>
      <c r="F17" s="13">
        <v>2</v>
      </c>
      <c r="G17" s="13">
        <v>12</v>
      </c>
      <c r="H17" s="13" t="s">
        <v>53</v>
      </c>
      <c r="I17" s="13">
        <v>12</v>
      </c>
      <c r="J17" s="13">
        <f t="shared" si="0"/>
        <v>144</v>
      </c>
      <c r="K17" s="13">
        <v>13.5</v>
      </c>
    </row>
    <row r="18" s="2" customFormat="1" ht="13.5" customHeight="1" spans="2:11">
      <c r="B18" s="13">
        <v>15</v>
      </c>
      <c r="C18" s="27" t="s">
        <v>149</v>
      </c>
      <c r="D18" s="14" t="s">
        <v>150</v>
      </c>
      <c r="E18" s="17">
        <v>6</v>
      </c>
      <c r="F18" s="13">
        <v>2</v>
      </c>
      <c r="G18" s="13">
        <v>12</v>
      </c>
      <c r="H18" s="13" t="s">
        <v>53</v>
      </c>
      <c r="I18" s="13">
        <v>12</v>
      </c>
      <c r="J18" s="13">
        <f t="shared" si="0"/>
        <v>144</v>
      </c>
      <c r="K18" s="13">
        <v>13.5</v>
      </c>
    </row>
    <row r="19" s="2" customFormat="1" ht="13.5" customHeight="1" spans="2:11">
      <c r="B19" s="13">
        <v>16</v>
      </c>
      <c r="C19" s="13" t="s">
        <v>151</v>
      </c>
      <c r="D19" s="14" t="s">
        <v>152</v>
      </c>
      <c r="E19" s="17">
        <v>5</v>
      </c>
      <c r="F19" s="13">
        <v>1</v>
      </c>
      <c r="G19" s="13">
        <v>5</v>
      </c>
      <c r="H19" s="13" t="s">
        <v>31</v>
      </c>
      <c r="I19" s="13">
        <v>10.6</v>
      </c>
      <c r="J19" s="13">
        <f t="shared" si="0"/>
        <v>53</v>
      </c>
      <c r="K19" s="13">
        <v>11.8</v>
      </c>
    </row>
    <row r="20" s="2" customFormat="1" ht="13.5" customHeight="1" spans="2:11">
      <c r="B20" s="13">
        <v>17</v>
      </c>
      <c r="C20" s="13" t="s">
        <v>153</v>
      </c>
      <c r="D20" s="14" t="s">
        <v>154</v>
      </c>
      <c r="E20" s="17">
        <v>5</v>
      </c>
      <c r="F20" s="13">
        <v>2</v>
      </c>
      <c r="G20" s="13">
        <v>10</v>
      </c>
      <c r="H20" s="13" t="s">
        <v>31</v>
      </c>
      <c r="I20" s="13">
        <v>10.6</v>
      </c>
      <c r="J20" s="13">
        <f t="shared" si="0"/>
        <v>106</v>
      </c>
      <c r="K20" s="13">
        <v>11.8</v>
      </c>
    </row>
    <row r="21" s="2" customFormat="1" ht="13.5" customHeight="1" spans="2:11">
      <c r="B21" s="13">
        <v>18</v>
      </c>
      <c r="C21" s="27" t="s">
        <v>155</v>
      </c>
      <c r="D21" s="14" t="s">
        <v>156</v>
      </c>
      <c r="E21" s="17">
        <v>18</v>
      </c>
      <c r="F21" s="13">
        <v>1</v>
      </c>
      <c r="G21" s="13">
        <v>18</v>
      </c>
      <c r="H21" s="13" t="s">
        <v>31</v>
      </c>
      <c r="I21" s="13">
        <v>35.8</v>
      </c>
      <c r="J21" s="13">
        <f t="shared" si="0"/>
        <v>644.4</v>
      </c>
      <c r="K21" s="13">
        <v>39.8</v>
      </c>
    </row>
    <row r="22" s="2" customFormat="1" ht="13.5" customHeight="1" spans="2:11">
      <c r="B22" s="13">
        <v>19</v>
      </c>
      <c r="C22" s="27" t="s">
        <v>157</v>
      </c>
      <c r="D22" s="14" t="s">
        <v>158</v>
      </c>
      <c r="E22" s="17">
        <v>9</v>
      </c>
      <c r="F22" s="13">
        <v>1</v>
      </c>
      <c r="G22" s="13">
        <v>9</v>
      </c>
      <c r="H22" s="13" t="s">
        <v>53</v>
      </c>
      <c r="I22" s="13">
        <v>48</v>
      </c>
      <c r="J22" s="13">
        <f t="shared" si="0"/>
        <v>432</v>
      </c>
      <c r="K22" s="13">
        <v>53.5</v>
      </c>
    </row>
    <row r="23" s="2" customFormat="1" ht="13.5" customHeight="1" spans="2:11">
      <c r="B23" s="13">
        <v>20</v>
      </c>
      <c r="C23" s="27" t="s">
        <v>159</v>
      </c>
      <c r="D23" s="14" t="s">
        <v>160</v>
      </c>
      <c r="E23" s="17">
        <v>9</v>
      </c>
      <c r="F23" s="13">
        <v>1</v>
      </c>
      <c r="G23" s="13">
        <v>9</v>
      </c>
      <c r="H23" s="13" t="s">
        <v>53</v>
      </c>
      <c r="I23" s="13">
        <v>48</v>
      </c>
      <c r="J23" s="13">
        <f t="shared" si="0"/>
        <v>432</v>
      </c>
      <c r="K23" s="13">
        <v>53.5</v>
      </c>
    </row>
    <row r="24" s="2" customFormat="1" ht="13.5" customHeight="1" spans="2:11">
      <c r="B24" s="13">
        <v>21</v>
      </c>
      <c r="C24" s="27" t="s">
        <v>161</v>
      </c>
      <c r="D24" s="14" t="s">
        <v>162</v>
      </c>
      <c r="E24" s="17">
        <v>30</v>
      </c>
      <c r="F24" s="13">
        <v>1</v>
      </c>
      <c r="G24" s="26">
        <v>30</v>
      </c>
      <c r="H24" s="13" t="s">
        <v>44</v>
      </c>
      <c r="I24" s="13">
        <v>7.5</v>
      </c>
      <c r="J24" s="13">
        <f t="shared" si="0"/>
        <v>225</v>
      </c>
      <c r="K24" s="13">
        <v>8.5</v>
      </c>
    </row>
    <row r="25" s="2" customFormat="1" ht="13.5" customHeight="1" spans="2:11">
      <c r="B25" s="13">
        <v>22</v>
      </c>
      <c r="C25" s="27" t="s">
        <v>163</v>
      </c>
      <c r="D25" s="14" t="s">
        <v>164</v>
      </c>
      <c r="E25" s="17">
        <v>8</v>
      </c>
      <c r="F25" s="13">
        <v>3</v>
      </c>
      <c r="G25" s="26">
        <v>24</v>
      </c>
      <c r="H25" s="13" t="s">
        <v>81</v>
      </c>
      <c r="I25" s="13">
        <v>38</v>
      </c>
      <c r="J25" s="13">
        <f t="shared" si="0"/>
        <v>912</v>
      </c>
      <c r="K25" s="13">
        <v>43</v>
      </c>
    </row>
    <row r="26" s="2" customFormat="1" ht="13.5" customHeight="1" spans="2:11">
      <c r="B26" s="13">
        <v>23</v>
      </c>
      <c r="C26" s="27" t="s">
        <v>165</v>
      </c>
      <c r="D26" s="14" t="s">
        <v>166</v>
      </c>
      <c r="E26" s="17">
        <v>6</v>
      </c>
      <c r="F26" s="13">
        <v>3</v>
      </c>
      <c r="G26" s="13">
        <v>18</v>
      </c>
      <c r="H26" s="13" t="s">
        <v>81</v>
      </c>
      <c r="I26" s="13">
        <v>33</v>
      </c>
      <c r="J26" s="13">
        <f t="shared" si="0"/>
        <v>594</v>
      </c>
      <c r="K26" s="13">
        <v>37</v>
      </c>
    </row>
    <row r="27" s="2" customFormat="1" ht="13.5" customHeight="1" spans="2:11">
      <c r="B27" s="13">
        <v>24</v>
      </c>
      <c r="C27" s="27" t="s">
        <v>167</v>
      </c>
      <c r="D27" s="14" t="s">
        <v>168</v>
      </c>
      <c r="E27" s="17">
        <v>8</v>
      </c>
      <c r="F27" s="13">
        <v>6</v>
      </c>
      <c r="G27" s="13">
        <v>48</v>
      </c>
      <c r="H27" s="13" t="s">
        <v>81</v>
      </c>
      <c r="I27" s="13">
        <v>17</v>
      </c>
      <c r="J27" s="13">
        <f t="shared" si="0"/>
        <v>816</v>
      </c>
      <c r="K27" s="13">
        <v>19</v>
      </c>
    </row>
    <row r="28" s="2" customFormat="1" ht="13.5" customHeight="1" spans="2:11">
      <c r="B28" s="13">
        <v>25</v>
      </c>
      <c r="C28" s="27" t="s">
        <v>169</v>
      </c>
      <c r="D28" s="14" t="s">
        <v>170</v>
      </c>
      <c r="E28" s="17">
        <v>12</v>
      </c>
      <c r="F28" s="13">
        <v>1</v>
      </c>
      <c r="G28" s="13">
        <v>12</v>
      </c>
      <c r="H28" s="13" t="s">
        <v>171</v>
      </c>
      <c r="I28" s="13">
        <v>29</v>
      </c>
      <c r="J28" s="13">
        <f t="shared" si="0"/>
        <v>348</v>
      </c>
      <c r="K28" s="13">
        <v>33</v>
      </c>
    </row>
    <row r="29" s="2" customFormat="1" ht="13.5" customHeight="1" spans="2:11">
      <c r="B29" s="13">
        <v>26</v>
      </c>
      <c r="C29" s="27" t="s">
        <v>172</v>
      </c>
      <c r="D29" s="14" t="s">
        <v>173</v>
      </c>
      <c r="E29" s="17">
        <v>4</v>
      </c>
      <c r="F29" s="13">
        <v>3</v>
      </c>
      <c r="G29" s="13">
        <v>12</v>
      </c>
      <c r="H29" s="13" t="s">
        <v>53</v>
      </c>
      <c r="I29" s="13">
        <v>39</v>
      </c>
      <c r="J29" s="13">
        <f t="shared" si="0"/>
        <v>468</v>
      </c>
      <c r="K29" s="13">
        <v>44</v>
      </c>
    </row>
    <row r="30" s="2" customFormat="1" ht="13.5" customHeight="1" spans="2:11">
      <c r="B30" s="13">
        <v>27</v>
      </c>
      <c r="C30" s="27" t="s">
        <v>174</v>
      </c>
      <c r="D30" s="14" t="s">
        <v>175</v>
      </c>
      <c r="E30" s="17">
        <v>3</v>
      </c>
      <c r="F30" s="13">
        <v>4</v>
      </c>
      <c r="G30" s="13">
        <v>12</v>
      </c>
      <c r="H30" s="13" t="s">
        <v>53</v>
      </c>
      <c r="I30" s="13">
        <v>16.5</v>
      </c>
      <c r="J30" s="13">
        <f t="shared" si="0"/>
        <v>198</v>
      </c>
      <c r="K30" s="13">
        <v>18.5</v>
      </c>
    </row>
    <row r="31" s="2" customFormat="1" ht="13.5" customHeight="1" spans="2:11">
      <c r="B31" s="13">
        <v>28</v>
      </c>
      <c r="C31" s="27" t="s">
        <v>176</v>
      </c>
      <c r="D31" s="14" t="s">
        <v>177</v>
      </c>
      <c r="E31" s="17">
        <v>6</v>
      </c>
      <c r="F31" s="13">
        <v>2</v>
      </c>
      <c r="G31" s="13">
        <v>12</v>
      </c>
      <c r="H31" s="13" t="s">
        <v>178</v>
      </c>
      <c r="I31" s="13">
        <v>26.8</v>
      </c>
      <c r="J31" s="13">
        <f t="shared" si="0"/>
        <v>321.6</v>
      </c>
      <c r="K31" s="13">
        <v>29.8</v>
      </c>
    </row>
    <row r="32" s="2" customFormat="1" ht="13.5" customHeight="1" spans="2:11">
      <c r="B32" s="13">
        <v>29</v>
      </c>
      <c r="C32" s="27" t="s">
        <v>179</v>
      </c>
      <c r="D32" s="14" t="s">
        <v>180</v>
      </c>
      <c r="E32" s="17">
        <v>12</v>
      </c>
      <c r="F32" s="13">
        <v>1</v>
      </c>
      <c r="G32" s="26">
        <v>12</v>
      </c>
      <c r="H32" s="13" t="s">
        <v>53</v>
      </c>
      <c r="I32" s="13">
        <v>80</v>
      </c>
      <c r="J32" s="13">
        <f t="shared" si="0"/>
        <v>960</v>
      </c>
      <c r="K32" s="13">
        <v>90</v>
      </c>
    </row>
    <row r="33" s="2" customFormat="1" ht="13.5" customHeight="1" spans="2:11">
      <c r="B33" s="13">
        <v>30</v>
      </c>
      <c r="C33" s="27" t="s">
        <v>181</v>
      </c>
      <c r="D33" s="14" t="s">
        <v>182</v>
      </c>
      <c r="E33" s="17">
        <v>12</v>
      </c>
      <c r="F33" s="13">
        <v>1</v>
      </c>
      <c r="G33" s="26">
        <v>12</v>
      </c>
      <c r="H33" s="13" t="s">
        <v>53</v>
      </c>
      <c r="I33" s="13">
        <v>70</v>
      </c>
      <c r="J33" s="13">
        <f t="shared" si="0"/>
        <v>840</v>
      </c>
      <c r="K33" s="13">
        <v>80</v>
      </c>
    </row>
    <row r="34" s="2" customFormat="1" ht="13.5" customHeight="1" spans="2:11">
      <c r="B34" s="13">
        <v>31</v>
      </c>
      <c r="C34" s="27" t="s">
        <v>183</v>
      </c>
      <c r="D34" s="14" t="s">
        <v>184</v>
      </c>
      <c r="E34" s="17">
        <v>24</v>
      </c>
      <c r="F34" s="13">
        <v>1</v>
      </c>
      <c r="G34" s="13">
        <v>24</v>
      </c>
      <c r="H34" s="13" t="s">
        <v>185</v>
      </c>
      <c r="I34" s="13">
        <v>8.9</v>
      </c>
      <c r="J34" s="13">
        <f t="shared" si="0"/>
        <v>213.6</v>
      </c>
      <c r="K34" s="13">
        <v>9.9</v>
      </c>
    </row>
    <row r="35" s="2" customFormat="1" ht="13.5" customHeight="1" spans="2:11">
      <c r="B35" s="13">
        <v>32</v>
      </c>
      <c r="C35" s="27" t="s">
        <v>60</v>
      </c>
      <c r="D35" s="14" t="s">
        <v>61</v>
      </c>
      <c r="E35" s="17">
        <v>8</v>
      </c>
      <c r="F35" s="13">
        <v>6</v>
      </c>
      <c r="G35" s="13">
        <v>48</v>
      </c>
      <c r="H35" s="13" t="s">
        <v>53</v>
      </c>
      <c r="I35" s="13">
        <v>18.8</v>
      </c>
      <c r="J35" s="13">
        <f t="shared" si="0"/>
        <v>902.4</v>
      </c>
      <c r="K35" s="13">
        <v>20.9</v>
      </c>
    </row>
    <row r="36" s="2" customFormat="1" ht="13.5" customHeight="1" spans="2:11">
      <c r="B36" s="13">
        <v>33</v>
      </c>
      <c r="C36" s="27" t="s">
        <v>186</v>
      </c>
      <c r="D36" s="14" t="s">
        <v>187</v>
      </c>
      <c r="E36" s="17">
        <v>10</v>
      </c>
      <c r="F36" s="13">
        <v>1</v>
      </c>
      <c r="G36" s="13">
        <v>10</v>
      </c>
      <c r="H36" s="13" t="s">
        <v>44</v>
      </c>
      <c r="I36" s="13">
        <v>13</v>
      </c>
      <c r="J36" s="13">
        <f t="shared" si="0"/>
        <v>130</v>
      </c>
      <c r="K36" s="13">
        <v>14.5</v>
      </c>
    </row>
    <row r="37" s="2" customFormat="1" ht="13.5" customHeight="1" spans="2:11">
      <c r="B37" s="13">
        <v>34</v>
      </c>
      <c r="C37" s="27" t="s">
        <v>188</v>
      </c>
      <c r="D37" s="14" t="s">
        <v>189</v>
      </c>
      <c r="E37" s="17">
        <v>10</v>
      </c>
      <c r="F37" s="13">
        <v>2</v>
      </c>
      <c r="G37" s="13">
        <v>20</v>
      </c>
      <c r="H37" s="13" t="s">
        <v>44</v>
      </c>
      <c r="I37" s="13">
        <v>16</v>
      </c>
      <c r="J37" s="13">
        <f t="shared" si="0"/>
        <v>320</v>
      </c>
      <c r="K37" s="13">
        <v>17.8</v>
      </c>
    </row>
    <row r="38" s="2" customFormat="1" ht="13.5" customHeight="1" spans="2:11">
      <c r="B38" s="13">
        <v>35</v>
      </c>
      <c r="C38" s="27" t="s">
        <v>190</v>
      </c>
      <c r="D38" s="14" t="s">
        <v>191</v>
      </c>
      <c r="E38" s="17">
        <v>4</v>
      </c>
      <c r="F38" s="13">
        <v>0.5</v>
      </c>
      <c r="G38" s="13">
        <v>2</v>
      </c>
      <c r="H38" s="13" t="s">
        <v>192</v>
      </c>
      <c r="I38" s="13">
        <v>84</v>
      </c>
      <c r="J38" s="13">
        <f t="shared" si="0"/>
        <v>168</v>
      </c>
      <c r="K38" s="13">
        <v>94</v>
      </c>
    </row>
    <row r="39" s="2" customFormat="1" ht="13.5" customHeight="1" spans="2:11">
      <c r="B39" s="13"/>
      <c r="C39" s="13"/>
      <c r="D39" s="13" t="s">
        <v>100</v>
      </c>
      <c r="E39" s="13"/>
      <c r="F39" s="25">
        <f>SUM(F4:F38)</f>
        <v>80.5</v>
      </c>
      <c r="G39" s="13"/>
      <c r="H39" s="13"/>
      <c r="I39" s="13"/>
      <c r="J39" s="13">
        <f>SUM(J4:J38)</f>
        <v>13426</v>
      </c>
      <c r="K39" s="18"/>
    </row>
    <row r="40" s="2" customFormat="1" ht="13.5" customHeight="1" spans="2:11">
      <c r="B40" s="9" t="s">
        <v>101</v>
      </c>
      <c r="C40" s="12"/>
      <c r="D40" s="9" t="s">
        <v>102</v>
      </c>
      <c r="E40" s="12"/>
      <c r="F40" s="12" t="s">
        <v>103</v>
      </c>
      <c r="G40" s="12"/>
      <c r="H40" s="12"/>
      <c r="I40" s="12"/>
      <c r="J40" s="12"/>
    </row>
    <row r="41" s="3" customFormat="1" ht="17.25" spans="2:11">
      <c r="B41" s="19"/>
      <c r="C41" s="19"/>
      <c r="D41" s="20"/>
      <c r="E41" s="19"/>
      <c r="F41" s="19"/>
      <c r="G41" s="19"/>
      <c r="H41" s="19"/>
      <c r="I41" s="19"/>
      <c r="J41" s="19"/>
    </row>
  </sheetData>
  <mergeCells count="2">
    <mergeCell ref="B1:K1"/>
    <mergeCell ref="G2:I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C31" sqref="C31"/>
    </sheetView>
  </sheetViews>
  <sheetFormatPr defaultColWidth="9" defaultRowHeight="16.5" outlineLevelRow="7"/>
  <cols>
    <col min="1" max="1" width="5.25" style="4" customWidth="1"/>
    <col min="2" max="2" width="18.375" style="4" customWidth="1"/>
    <col min="3" max="3" width="31.25" style="5" customWidth="1"/>
    <col min="4" max="4" width="5.875" style="4" customWidth="1"/>
    <col min="5" max="5" width="6.5" style="4" customWidth="1"/>
    <col min="6" max="7" width="4.625" style="4" customWidth="1"/>
    <col min="8" max="8" width="6.25" style="4" customWidth="1"/>
    <col min="9" max="9" width="9.875" style="4" customWidth="1"/>
    <col min="10" max="10" width="7.875" style="6" customWidth="1"/>
    <col min="11" max="11" width="17.15" style="6" customWidth="1"/>
    <col min="12" max="16384" width="9" style="6"/>
  </cols>
  <sheetData>
    <row r="1" s="22" customFormat="1" ht="16" customHeight="1" spans="1:10">
      <c r="A1" s="23" t="s">
        <v>0</v>
      </c>
      <c r="B1" s="23"/>
      <c r="C1" s="24"/>
      <c r="D1" s="23"/>
      <c r="E1" s="23"/>
      <c r="F1" s="23"/>
      <c r="G1" s="23"/>
      <c r="H1" s="23"/>
      <c r="I1" s="23"/>
      <c r="J1" s="23"/>
    </row>
    <row r="2" s="2" customFormat="1" ht="13.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45979</v>
      </c>
      <c r="G2" s="11"/>
      <c r="H2" s="11"/>
      <c r="I2" s="12"/>
    </row>
    <row r="3" s="2" customFormat="1" ht="13.5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3.5" customHeight="1" spans="1:10">
      <c r="A4" s="13">
        <v>1</v>
      </c>
      <c r="B4" s="27" t="s">
        <v>193</v>
      </c>
      <c r="C4" s="14" t="s">
        <v>194</v>
      </c>
      <c r="D4" s="17">
        <v>4</v>
      </c>
      <c r="E4" s="13">
        <v>4</v>
      </c>
      <c r="F4" s="13">
        <v>16</v>
      </c>
      <c r="G4" s="13" t="s">
        <v>97</v>
      </c>
      <c r="H4" s="13">
        <v>108</v>
      </c>
      <c r="I4" s="13">
        <f>H4*F4</f>
        <v>1728</v>
      </c>
      <c r="J4" s="13">
        <v>118</v>
      </c>
    </row>
    <row r="5" s="2" customFormat="1" ht="13.5" customHeight="1" spans="1:10">
      <c r="A5" s="13">
        <v>2</v>
      </c>
      <c r="B5" s="27" t="s">
        <v>195</v>
      </c>
      <c r="C5" s="14" t="s">
        <v>196</v>
      </c>
      <c r="D5" s="17">
        <v>4</v>
      </c>
      <c r="E5" s="13">
        <v>4</v>
      </c>
      <c r="F5" s="13">
        <v>16</v>
      </c>
      <c r="G5" s="13" t="s">
        <v>97</v>
      </c>
      <c r="H5" s="13">
        <v>169</v>
      </c>
      <c r="I5" s="13">
        <f>H5*F5</f>
        <v>2704</v>
      </c>
      <c r="J5" s="13">
        <v>180</v>
      </c>
    </row>
    <row r="6" s="2" customFormat="1" ht="13.5" customHeight="1" spans="1:10">
      <c r="A6" s="13"/>
      <c r="B6" s="13"/>
      <c r="C6" s="13" t="s">
        <v>100</v>
      </c>
      <c r="D6" s="13"/>
      <c r="E6" s="25">
        <f>SUM(E4:E5)</f>
        <v>8</v>
      </c>
      <c r="F6" s="13"/>
      <c r="G6" s="13"/>
      <c r="H6" s="13"/>
      <c r="I6" s="13">
        <f>SUM(I4:I5)</f>
        <v>4432</v>
      </c>
      <c r="J6" s="18"/>
    </row>
    <row r="7" s="2" customFormat="1" ht="13.5" customHeight="1" spans="1:10">
      <c r="A7" s="9" t="s">
        <v>101</v>
      </c>
      <c r="B7" s="12"/>
      <c r="C7" s="9" t="s">
        <v>102</v>
      </c>
      <c r="D7" s="12"/>
      <c r="E7" s="12" t="s">
        <v>103</v>
      </c>
      <c r="F7" s="12"/>
      <c r="G7" s="12"/>
      <c r="H7" s="12"/>
      <c r="I7" s="12"/>
    </row>
    <row r="8" s="3" customFormat="1" ht="17.25" spans="1:10">
      <c r="A8" s="19"/>
      <c r="B8" s="19"/>
      <c r="C8" s="20"/>
      <c r="D8" s="19"/>
      <c r="E8" s="19"/>
      <c r="F8" s="19"/>
      <c r="G8" s="19"/>
      <c r="H8" s="19"/>
      <c r="I8" s="19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N30" sqref="N30"/>
    </sheetView>
  </sheetViews>
  <sheetFormatPr defaultColWidth="9" defaultRowHeight="16.5"/>
  <cols>
    <col min="1" max="1" width="5.25" style="4" customWidth="1"/>
    <col min="2" max="2" width="18.375" style="4" customWidth="1"/>
    <col min="3" max="3" width="35.625" style="5" customWidth="1"/>
    <col min="4" max="4" width="5.875" style="4" customWidth="1"/>
    <col min="5" max="5" width="6.5" style="4" customWidth="1"/>
    <col min="6" max="7" width="4.625" style="4" customWidth="1"/>
    <col min="8" max="8" width="6.25" style="4" customWidth="1"/>
    <col min="9" max="9" width="9.875" style="4" customWidth="1"/>
    <col min="10" max="10" width="7.875" style="6" customWidth="1"/>
    <col min="11" max="11" width="17.15" style="6" customWidth="1"/>
    <col min="12" max="16384" width="9" style="6"/>
  </cols>
  <sheetData>
    <row r="1" s="22" customFormat="1" ht="16" customHeight="1" spans="1:10">
      <c r="A1" s="23" t="s">
        <v>0</v>
      </c>
      <c r="B1" s="23"/>
      <c r="C1" s="24"/>
      <c r="D1" s="23"/>
      <c r="E1" s="23"/>
      <c r="F1" s="23"/>
      <c r="G1" s="23"/>
      <c r="H1" s="23"/>
      <c r="I1" s="23"/>
      <c r="J1" s="23"/>
    </row>
    <row r="2" s="2" customFormat="1" ht="13.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45979</v>
      </c>
      <c r="G2" s="11"/>
      <c r="H2" s="11"/>
      <c r="I2" s="12"/>
    </row>
    <row r="3" s="2" customFormat="1" ht="13.5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3.5" customHeight="1" spans="1:10">
      <c r="A4" s="13">
        <v>1</v>
      </c>
      <c r="B4" s="13" t="s">
        <v>197</v>
      </c>
      <c r="C4" s="14" t="s">
        <v>198</v>
      </c>
      <c r="D4" s="17" t="s">
        <v>199</v>
      </c>
      <c r="E4" s="13">
        <v>4</v>
      </c>
      <c r="F4" s="13">
        <v>48</v>
      </c>
      <c r="G4" s="13" t="s">
        <v>74</v>
      </c>
      <c r="H4" s="13">
        <v>12</v>
      </c>
      <c r="I4" s="13">
        <v>576</v>
      </c>
      <c r="J4" s="13">
        <v>13.5</v>
      </c>
    </row>
    <row r="5" s="2" customFormat="1" ht="13.5" customHeight="1" spans="1:10">
      <c r="A5" s="13">
        <v>2</v>
      </c>
      <c r="B5" s="13" t="s">
        <v>200</v>
      </c>
      <c r="C5" s="14" t="s">
        <v>201</v>
      </c>
      <c r="D5" s="17" t="s">
        <v>202</v>
      </c>
      <c r="E5" s="13">
        <v>1</v>
      </c>
      <c r="F5" s="13">
        <v>24</v>
      </c>
      <c r="G5" s="13" t="s">
        <v>74</v>
      </c>
      <c r="H5" s="13">
        <v>4</v>
      </c>
      <c r="I5" s="13">
        <v>96</v>
      </c>
      <c r="J5" s="13">
        <v>4.5</v>
      </c>
    </row>
    <row r="6" s="2" customFormat="1" ht="13.5" customHeight="1" spans="1:10">
      <c r="A6" s="13">
        <v>3</v>
      </c>
      <c r="B6" s="13" t="s">
        <v>203</v>
      </c>
      <c r="C6" s="14" t="s">
        <v>204</v>
      </c>
      <c r="D6" s="17" t="s">
        <v>205</v>
      </c>
      <c r="E6" s="13">
        <v>1</v>
      </c>
      <c r="F6" s="13">
        <v>20</v>
      </c>
      <c r="G6" s="13" t="s">
        <v>74</v>
      </c>
      <c r="H6" s="13">
        <v>37.5</v>
      </c>
      <c r="I6" s="13">
        <v>750</v>
      </c>
      <c r="J6" s="13">
        <v>42</v>
      </c>
    </row>
    <row r="7" s="2" customFormat="1" ht="13.5" customHeight="1" spans="1:10">
      <c r="A7" s="13">
        <v>4</v>
      </c>
      <c r="B7" s="13" t="s">
        <v>206</v>
      </c>
      <c r="C7" s="14" t="s">
        <v>207</v>
      </c>
      <c r="D7" s="17" t="s">
        <v>208</v>
      </c>
      <c r="E7" s="13">
        <v>3</v>
      </c>
      <c r="F7" s="13">
        <v>12</v>
      </c>
      <c r="G7" s="13" t="s">
        <v>53</v>
      </c>
      <c r="H7" s="13">
        <v>45.6</v>
      </c>
      <c r="I7" s="13">
        <v>547.2</v>
      </c>
      <c r="J7" s="13">
        <v>49.9</v>
      </c>
    </row>
    <row r="8" s="2" customFormat="1" ht="13.5" customHeight="1" spans="1:10">
      <c r="A8" s="13">
        <v>5</v>
      </c>
      <c r="B8" s="13" t="s">
        <v>209</v>
      </c>
      <c r="C8" s="14" t="s">
        <v>210</v>
      </c>
      <c r="D8" s="17" t="s">
        <v>205</v>
      </c>
      <c r="E8" s="13">
        <v>1</v>
      </c>
      <c r="F8" s="26">
        <v>20</v>
      </c>
      <c r="G8" s="13" t="s">
        <v>74</v>
      </c>
      <c r="H8" s="13">
        <v>17.5</v>
      </c>
      <c r="I8" s="13">
        <v>350</v>
      </c>
      <c r="J8" s="13">
        <v>19.8</v>
      </c>
    </row>
    <row r="9" s="2" customFormat="1" ht="13.5" customHeight="1" spans="1:10">
      <c r="A9" s="13">
        <v>6</v>
      </c>
      <c r="B9" s="13" t="s">
        <v>211</v>
      </c>
      <c r="C9" s="14" t="s">
        <v>212</v>
      </c>
      <c r="D9" s="17" t="s">
        <v>213</v>
      </c>
      <c r="E9" s="13">
        <v>1</v>
      </c>
      <c r="F9" s="26">
        <v>10</v>
      </c>
      <c r="G9" s="13" t="s">
        <v>74</v>
      </c>
      <c r="H9" s="13">
        <v>35.2</v>
      </c>
      <c r="I9" s="13">
        <v>352</v>
      </c>
      <c r="J9" s="13">
        <v>38</v>
      </c>
    </row>
    <row r="10" s="2" customFormat="1" ht="13.5" customHeight="1" spans="1:10">
      <c r="A10" s="13">
        <v>7</v>
      </c>
      <c r="B10" s="13" t="s">
        <v>214</v>
      </c>
      <c r="C10" s="14" t="s">
        <v>215</v>
      </c>
      <c r="D10" s="17" t="s">
        <v>213</v>
      </c>
      <c r="E10" s="13">
        <v>1</v>
      </c>
      <c r="F10" s="13">
        <v>10</v>
      </c>
      <c r="G10" s="13" t="s">
        <v>74</v>
      </c>
      <c r="H10" s="13">
        <v>26.5</v>
      </c>
      <c r="I10" s="13">
        <v>265</v>
      </c>
      <c r="J10" s="13">
        <v>29.5</v>
      </c>
    </row>
    <row r="11" s="2" customFormat="1" ht="13.5" customHeight="1" spans="1:10">
      <c r="A11" s="13">
        <v>8</v>
      </c>
      <c r="B11" s="13" t="s">
        <v>216</v>
      </c>
      <c r="C11" s="14" t="s">
        <v>217</v>
      </c>
      <c r="D11" s="17" t="s">
        <v>218</v>
      </c>
      <c r="E11" s="13">
        <v>2</v>
      </c>
      <c r="F11" s="13">
        <v>30</v>
      </c>
      <c r="G11" s="13" t="s">
        <v>53</v>
      </c>
      <c r="H11" s="13">
        <v>4.1</v>
      </c>
      <c r="I11" s="13">
        <v>123</v>
      </c>
      <c r="J11" s="13">
        <v>4.5</v>
      </c>
    </row>
    <row r="12" s="2" customFormat="1" ht="13.5" customHeight="1" spans="1:10">
      <c r="A12" s="13">
        <v>9</v>
      </c>
      <c r="B12" s="27" t="s">
        <v>219</v>
      </c>
      <c r="C12" s="14" t="s">
        <v>220</v>
      </c>
      <c r="D12" s="17" t="s">
        <v>221</v>
      </c>
      <c r="E12" s="13">
        <v>1</v>
      </c>
      <c r="F12" s="13">
        <v>24</v>
      </c>
      <c r="G12" s="13" t="s">
        <v>53</v>
      </c>
      <c r="H12" s="13">
        <v>2.7</v>
      </c>
      <c r="I12" s="13">
        <v>64.8</v>
      </c>
      <c r="J12" s="13">
        <v>3</v>
      </c>
    </row>
    <row r="13" s="2" customFormat="1" ht="13.5" customHeight="1" spans="1:10">
      <c r="A13" s="13">
        <v>10</v>
      </c>
      <c r="B13" s="13" t="s">
        <v>222</v>
      </c>
      <c r="C13" s="14" t="s">
        <v>223</v>
      </c>
      <c r="D13" s="17" t="s">
        <v>224</v>
      </c>
      <c r="E13" s="13">
        <v>0.25</v>
      </c>
      <c r="F13" s="13">
        <v>50</v>
      </c>
      <c r="G13" s="13" t="s">
        <v>31</v>
      </c>
      <c r="H13" s="13">
        <v>4.05</v>
      </c>
      <c r="I13" s="13">
        <v>202.5</v>
      </c>
      <c r="J13" s="13">
        <v>4.5</v>
      </c>
    </row>
    <row r="14" s="2" customFormat="1" ht="13.5" customHeight="1" spans="1:10">
      <c r="A14" s="13">
        <v>11</v>
      </c>
      <c r="B14" s="27" t="s">
        <v>225</v>
      </c>
      <c r="C14" s="14" t="s">
        <v>226</v>
      </c>
      <c r="D14" s="17">
        <v>24</v>
      </c>
      <c r="E14" s="13">
        <v>1</v>
      </c>
      <c r="F14" s="26">
        <v>24</v>
      </c>
      <c r="G14" s="13" t="s">
        <v>74</v>
      </c>
      <c r="H14" s="13">
        <v>6.1</v>
      </c>
      <c r="I14" s="13">
        <v>146.4</v>
      </c>
      <c r="J14" s="13">
        <v>7</v>
      </c>
    </row>
    <row r="15" s="2" customFormat="1" ht="13.5" customHeight="1" spans="1:10">
      <c r="A15" s="13"/>
      <c r="B15" s="13"/>
      <c r="C15" s="13" t="s">
        <v>100</v>
      </c>
      <c r="D15" s="13"/>
      <c r="E15" s="25">
        <f>SUM(E4:E14)</f>
        <v>16.25</v>
      </c>
      <c r="F15" s="13"/>
      <c r="G15" s="13"/>
      <c r="H15" s="13"/>
      <c r="I15" s="13">
        <f>SUM(I4:I14)</f>
        <v>3472.9</v>
      </c>
      <c r="J15" s="18"/>
    </row>
    <row r="16" s="2" customFormat="1" ht="13.5" customHeight="1" spans="1:10">
      <c r="A16" s="9" t="s">
        <v>101</v>
      </c>
      <c r="B16" s="12"/>
      <c r="C16" s="9" t="s">
        <v>102</v>
      </c>
      <c r="D16" s="12"/>
      <c r="E16" s="12" t="s">
        <v>103</v>
      </c>
      <c r="F16" s="12"/>
      <c r="G16" s="12"/>
      <c r="H16" s="12"/>
      <c r="I16" s="12"/>
    </row>
    <row r="17" s="3" customFormat="1" ht="17.25" spans="1:9">
      <c r="A17" s="19"/>
      <c r="B17" s="19"/>
      <c r="C17" s="20"/>
      <c r="D17" s="19"/>
      <c r="E17" s="19"/>
      <c r="F17" s="19"/>
      <c r="G17" s="19"/>
      <c r="H17" s="19"/>
      <c r="I17" s="19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M33" sqref="M33"/>
    </sheetView>
  </sheetViews>
  <sheetFormatPr defaultColWidth="9" defaultRowHeight="16.5"/>
  <cols>
    <col min="1" max="1" width="5.25" style="4" customWidth="1"/>
    <col min="2" max="2" width="18.375" style="4" customWidth="1"/>
    <col min="3" max="3" width="35.625" style="5" customWidth="1"/>
    <col min="4" max="4" width="5.875" style="4" customWidth="1"/>
    <col min="5" max="5" width="6.5" style="4" customWidth="1"/>
    <col min="6" max="7" width="4.625" style="4" customWidth="1"/>
    <col min="8" max="8" width="6.25" style="4" customWidth="1"/>
    <col min="9" max="9" width="9.875" style="4" customWidth="1"/>
    <col min="10" max="10" width="7.875" style="6" customWidth="1"/>
    <col min="11" max="11" width="17.15" style="6" customWidth="1"/>
    <col min="12" max="16384" width="9" style="6"/>
  </cols>
  <sheetData>
    <row r="1" s="22" customFormat="1" ht="16" customHeight="1" spans="1:10">
      <c r="A1" s="23" t="s">
        <v>0</v>
      </c>
      <c r="B1" s="23"/>
      <c r="C1" s="24"/>
      <c r="D1" s="23"/>
      <c r="E1" s="23"/>
      <c r="F1" s="23"/>
      <c r="G1" s="23"/>
      <c r="H1" s="23"/>
      <c r="I1" s="23"/>
      <c r="J1" s="23"/>
    </row>
    <row r="2" s="2" customFormat="1" ht="13.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45982</v>
      </c>
      <c r="G2" s="11"/>
      <c r="H2" s="11"/>
      <c r="I2" s="12"/>
    </row>
    <row r="3" s="2" customFormat="1" ht="13.5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3.5" customHeight="1" spans="1:10">
      <c r="A4" s="13">
        <v>1</v>
      </c>
      <c r="B4" s="27" t="s">
        <v>227</v>
      </c>
      <c r="C4" s="14" t="s">
        <v>228</v>
      </c>
      <c r="D4" s="17">
        <v>2</v>
      </c>
      <c r="E4" s="13">
        <v>10</v>
      </c>
      <c r="F4" s="13">
        <v>20</v>
      </c>
      <c r="G4" s="13" t="s">
        <v>74</v>
      </c>
      <c r="H4" s="13">
        <v>105</v>
      </c>
      <c r="I4" s="13">
        <f t="shared" ref="I4:I31" si="0">H4*F4</f>
        <v>2100</v>
      </c>
      <c r="J4" s="13">
        <v>115</v>
      </c>
    </row>
    <row r="5" s="2" customFormat="1" ht="13.5" customHeight="1" spans="1:10">
      <c r="A5" s="13">
        <v>2</v>
      </c>
      <c r="B5" s="27" t="s">
        <v>229</v>
      </c>
      <c r="C5" s="14" t="s">
        <v>230</v>
      </c>
      <c r="D5" s="17">
        <v>4</v>
      </c>
      <c r="E5" s="13">
        <v>5</v>
      </c>
      <c r="F5" s="13">
        <v>20</v>
      </c>
      <c r="G5" s="13" t="s">
        <v>74</v>
      </c>
      <c r="H5" s="13">
        <v>56.5</v>
      </c>
      <c r="I5" s="13">
        <f t="shared" si="0"/>
        <v>1130</v>
      </c>
      <c r="J5" s="13">
        <v>60</v>
      </c>
    </row>
    <row r="6" s="2" customFormat="1" ht="13.5" customHeight="1" spans="1:10">
      <c r="A6" s="13">
        <v>3</v>
      </c>
      <c r="B6" s="27" t="s">
        <v>231</v>
      </c>
      <c r="C6" s="14" t="s">
        <v>232</v>
      </c>
      <c r="D6" s="17">
        <v>4</v>
      </c>
      <c r="E6" s="13">
        <v>5</v>
      </c>
      <c r="F6" s="13">
        <v>20</v>
      </c>
      <c r="G6" s="13" t="s">
        <v>97</v>
      </c>
      <c r="H6" s="13">
        <v>95</v>
      </c>
      <c r="I6" s="13">
        <f t="shared" si="0"/>
        <v>1900</v>
      </c>
      <c r="J6" s="13">
        <v>105</v>
      </c>
    </row>
    <row r="7" s="2" customFormat="1" ht="13.5" customHeight="1" spans="1:10">
      <c r="A7" s="13">
        <v>4</v>
      </c>
      <c r="B7" s="27" t="s">
        <v>233</v>
      </c>
      <c r="C7" s="14" t="s">
        <v>234</v>
      </c>
      <c r="D7" s="17">
        <v>1</v>
      </c>
      <c r="E7" s="13">
        <v>2</v>
      </c>
      <c r="F7" s="13">
        <v>2</v>
      </c>
      <c r="G7" s="13" t="s">
        <v>74</v>
      </c>
      <c r="H7" s="13">
        <v>79</v>
      </c>
      <c r="I7" s="13">
        <f t="shared" si="0"/>
        <v>158</v>
      </c>
      <c r="J7" s="13">
        <v>88</v>
      </c>
    </row>
    <row r="8" s="2" customFormat="1" ht="13.5" customHeight="1" spans="1:10">
      <c r="A8" s="13">
        <v>5</v>
      </c>
      <c r="B8" s="27" t="s">
        <v>75</v>
      </c>
      <c r="C8" s="14" t="s">
        <v>76</v>
      </c>
      <c r="D8" s="17">
        <v>8</v>
      </c>
      <c r="E8" s="13">
        <v>2</v>
      </c>
      <c r="F8" s="13">
        <v>16</v>
      </c>
      <c r="G8" s="13" t="s">
        <v>74</v>
      </c>
      <c r="H8" s="13">
        <v>78</v>
      </c>
      <c r="I8" s="13">
        <f t="shared" si="0"/>
        <v>1248</v>
      </c>
      <c r="J8" s="13">
        <v>87</v>
      </c>
    </row>
    <row r="9" s="2" customFormat="1" ht="13.5" customHeight="1" spans="1:10">
      <c r="A9" s="13">
        <v>6</v>
      </c>
      <c r="B9" s="27" t="s">
        <v>235</v>
      </c>
      <c r="C9" s="14" t="s">
        <v>236</v>
      </c>
      <c r="D9" s="17">
        <v>10</v>
      </c>
      <c r="E9" s="13">
        <v>1</v>
      </c>
      <c r="F9" s="13">
        <v>10</v>
      </c>
      <c r="G9" s="13" t="s">
        <v>74</v>
      </c>
      <c r="H9" s="13">
        <v>17.5</v>
      </c>
      <c r="I9" s="13">
        <f t="shared" si="0"/>
        <v>175</v>
      </c>
      <c r="J9" s="13">
        <v>19.5</v>
      </c>
    </row>
    <row r="10" s="2" customFormat="1" ht="13.5" customHeight="1" spans="1:10">
      <c r="A10" s="13">
        <v>7</v>
      </c>
      <c r="B10" s="27" t="s">
        <v>237</v>
      </c>
      <c r="C10" s="14" t="s">
        <v>238</v>
      </c>
      <c r="D10" s="17">
        <v>6</v>
      </c>
      <c r="E10" s="13">
        <v>5</v>
      </c>
      <c r="F10" s="13">
        <v>30</v>
      </c>
      <c r="G10" s="13" t="s">
        <v>185</v>
      </c>
      <c r="H10" s="13">
        <v>19.7</v>
      </c>
      <c r="I10" s="13">
        <f t="shared" si="0"/>
        <v>591</v>
      </c>
      <c r="J10" s="13">
        <v>21.9</v>
      </c>
    </row>
    <row r="11" s="2" customFormat="1" ht="13.5" customHeight="1" spans="1:10">
      <c r="A11" s="13">
        <v>8</v>
      </c>
      <c r="B11" s="27" t="s">
        <v>239</v>
      </c>
      <c r="C11" s="14" t="s">
        <v>240</v>
      </c>
      <c r="D11" s="17">
        <v>12</v>
      </c>
      <c r="E11" s="13">
        <v>3</v>
      </c>
      <c r="F11" s="13">
        <v>36</v>
      </c>
      <c r="G11" s="13" t="s">
        <v>81</v>
      </c>
      <c r="H11" s="13">
        <v>15</v>
      </c>
      <c r="I11" s="13">
        <f t="shared" si="0"/>
        <v>540</v>
      </c>
      <c r="J11" s="13">
        <v>17</v>
      </c>
    </row>
    <row r="12" s="2" customFormat="1" ht="13.5" customHeight="1" spans="1:10">
      <c r="A12" s="13">
        <v>9</v>
      </c>
      <c r="B12" s="27" t="s">
        <v>241</v>
      </c>
      <c r="C12" s="14" t="s">
        <v>242</v>
      </c>
      <c r="D12" s="17">
        <v>24</v>
      </c>
      <c r="E12" s="13">
        <v>2</v>
      </c>
      <c r="F12" s="13">
        <v>48</v>
      </c>
      <c r="G12" s="13" t="s">
        <v>178</v>
      </c>
      <c r="H12" s="13">
        <v>13</v>
      </c>
      <c r="I12" s="13">
        <f t="shared" si="0"/>
        <v>624</v>
      </c>
      <c r="J12" s="13">
        <v>14.5</v>
      </c>
    </row>
    <row r="13" s="2" customFormat="1" ht="13.5" customHeight="1" spans="1:10">
      <c r="A13" s="13">
        <v>10</v>
      </c>
      <c r="B13" s="27" t="s">
        <v>243</v>
      </c>
      <c r="C13" s="14" t="s">
        <v>244</v>
      </c>
      <c r="D13" s="17">
        <v>24</v>
      </c>
      <c r="E13" s="13">
        <v>2</v>
      </c>
      <c r="F13" s="13">
        <v>48</v>
      </c>
      <c r="G13" s="13" t="s">
        <v>178</v>
      </c>
      <c r="H13" s="13">
        <v>7</v>
      </c>
      <c r="I13" s="13">
        <f t="shared" si="0"/>
        <v>336</v>
      </c>
      <c r="J13" s="13">
        <v>7.8</v>
      </c>
    </row>
    <row r="14" s="2" customFormat="1" ht="13.5" customHeight="1" spans="1:10">
      <c r="A14" s="13">
        <v>11</v>
      </c>
      <c r="B14" s="13" t="s">
        <v>245</v>
      </c>
      <c r="C14" s="14" t="s">
        <v>246</v>
      </c>
      <c r="D14" s="17">
        <v>12</v>
      </c>
      <c r="E14" s="13">
        <v>1</v>
      </c>
      <c r="F14" s="13">
        <v>12</v>
      </c>
      <c r="G14" s="13" t="s">
        <v>53</v>
      </c>
      <c r="H14" s="13">
        <v>12.8</v>
      </c>
      <c r="I14" s="13">
        <f t="shared" si="0"/>
        <v>153.6</v>
      </c>
      <c r="J14" s="13">
        <v>14.5</v>
      </c>
    </row>
    <row r="15" s="2" customFormat="1" ht="13.5" customHeight="1" spans="1:10">
      <c r="A15" s="13">
        <v>12</v>
      </c>
      <c r="B15" s="27" t="s">
        <v>247</v>
      </c>
      <c r="C15" s="14" t="s">
        <v>248</v>
      </c>
      <c r="D15" s="17">
        <v>3</v>
      </c>
      <c r="E15" s="13">
        <v>6</v>
      </c>
      <c r="F15" s="13">
        <v>18</v>
      </c>
      <c r="G15" s="13" t="s">
        <v>53</v>
      </c>
      <c r="H15" s="13">
        <v>16.5</v>
      </c>
      <c r="I15" s="13">
        <f t="shared" si="0"/>
        <v>297</v>
      </c>
      <c r="J15" s="13">
        <v>18.5</v>
      </c>
    </row>
    <row r="16" s="2" customFormat="1" ht="13.5" customHeight="1" spans="1:10">
      <c r="A16" s="13">
        <v>13</v>
      </c>
      <c r="B16" s="27" t="s">
        <v>249</v>
      </c>
      <c r="C16" s="14" t="s">
        <v>250</v>
      </c>
      <c r="D16" s="17">
        <v>20</v>
      </c>
      <c r="E16" s="13">
        <v>1</v>
      </c>
      <c r="F16" s="13">
        <v>20</v>
      </c>
      <c r="G16" s="13" t="s">
        <v>74</v>
      </c>
      <c r="H16" s="13">
        <v>17.9</v>
      </c>
      <c r="I16" s="13">
        <f t="shared" si="0"/>
        <v>358</v>
      </c>
      <c r="J16" s="13">
        <v>19.9</v>
      </c>
    </row>
    <row r="17" s="2" customFormat="1" ht="13.5" customHeight="1" spans="1:10">
      <c r="A17" s="13">
        <v>14</v>
      </c>
      <c r="B17" s="27" t="s">
        <v>251</v>
      </c>
      <c r="C17" s="14" t="s">
        <v>252</v>
      </c>
      <c r="D17" s="17">
        <v>12</v>
      </c>
      <c r="E17" s="13">
        <v>1</v>
      </c>
      <c r="F17" s="13">
        <v>12</v>
      </c>
      <c r="G17" s="13" t="s">
        <v>97</v>
      </c>
      <c r="H17" s="13">
        <v>42</v>
      </c>
      <c r="I17" s="13">
        <f t="shared" si="0"/>
        <v>504</v>
      </c>
      <c r="J17" s="13">
        <v>47</v>
      </c>
    </row>
    <row r="18" s="2" customFormat="1" ht="13.5" customHeight="1" spans="1:10">
      <c r="A18" s="13">
        <v>15</v>
      </c>
      <c r="B18" s="27" t="s">
        <v>253</v>
      </c>
      <c r="C18" s="14" t="s">
        <v>254</v>
      </c>
      <c r="D18" s="17">
        <v>5</v>
      </c>
      <c r="E18" s="13">
        <v>1</v>
      </c>
      <c r="F18" s="13">
        <v>5</v>
      </c>
      <c r="G18" s="13" t="s">
        <v>31</v>
      </c>
      <c r="H18" s="13">
        <v>18.8</v>
      </c>
      <c r="I18" s="13">
        <f t="shared" si="0"/>
        <v>94</v>
      </c>
      <c r="J18" s="13">
        <v>20.9</v>
      </c>
    </row>
    <row r="19" s="2" customFormat="1" ht="13.5" customHeight="1" spans="1:10">
      <c r="A19" s="13">
        <v>16</v>
      </c>
      <c r="B19" s="27" t="s">
        <v>255</v>
      </c>
      <c r="C19" s="14" t="s">
        <v>256</v>
      </c>
      <c r="D19" s="17">
        <v>5</v>
      </c>
      <c r="E19" s="13">
        <v>1</v>
      </c>
      <c r="F19" s="13">
        <v>5</v>
      </c>
      <c r="G19" s="13" t="s">
        <v>31</v>
      </c>
      <c r="H19" s="13">
        <v>18.8</v>
      </c>
      <c r="I19" s="13">
        <f t="shared" si="0"/>
        <v>94</v>
      </c>
      <c r="J19" s="13">
        <v>20.9</v>
      </c>
    </row>
    <row r="20" s="2" customFormat="1" ht="13.5" customHeight="1" spans="1:10">
      <c r="A20" s="13">
        <v>17</v>
      </c>
      <c r="B20" s="27" t="s">
        <v>257</v>
      </c>
      <c r="C20" s="14" t="s">
        <v>258</v>
      </c>
      <c r="D20" s="17">
        <v>5</v>
      </c>
      <c r="E20" s="13">
        <v>1</v>
      </c>
      <c r="F20" s="13">
        <v>5</v>
      </c>
      <c r="G20" s="13" t="s">
        <v>31</v>
      </c>
      <c r="H20" s="13">
        <v>18.8</v>
      </c>
      <c r="I20" s="13">
        <f t="shared" si="0"/>
        <v>94</v>
      </c>
      <c r="J20" s="13">
        <v>20.9</v>
      </c>
    </row>
    <row r="21" s="2" customFormat="1" ht="13.5" customHeight="1" spans="1:10">
      <c r="A21" s="13">
        <v>18</v>
      </c>
      <c r="B21" s="27" t="s">
        <v>259</v>
      </c>
      <c r="C21" s="14" t="s">
        <v>260</v>
      </c>
      <c r="D21" s="17">
        <v>5</v>
      </c>
      <c r="E21" s="13">
        <v>1</v>
      </c>
      <c r="F21" s="13">
        <v>5</v>
      </c>
      <c r="G21" s="13" t="s">
        <v>31</v>
      </c>
      <c r="H21" s="13">
        <v>18.8</v>
      </c>
      <c r="I21" s="13">
        <f t="shared" si="0"/>
        <v>94</v>
      </c>
      <c r="J21" s="13">
        <v>20.9</v>
      </c>
    </row>
    <row r="22" s="2" customFormat="1" ht="13.5" customHeight="1" spans="1:10">
      <c r="A22" s="13">
        <v>19</v>
      </c>
      <c r="B22" s="27" t="s">
        <v>261</v>
      </c>
      <c r="C22" s="14" t="s">
        <v>262</v>
      </c>
      <c r="D22" s="17">
        <v>24</v>
      </c>
      <c r="E22" s="13">
        <v>0.33</v>
      </c>
      <c r="F22" s="13">
        <v>8</v>
      </c>
      <c r="G22" s="13" t="s">
        <v>74</v>
      </c>
      <c r="H22" s="13">
        <v>3.6</v>
      </c>
      <c r="I22" s="13">
        <f t="shared" si="0"/>
        <v>28.8</v>
      </c>
      <c r="J22" s="13">
        <v>4</v>
      </c>
    </row>
    <row r="23" s="2" customFormat="1" ht="13.5" customHeight="1" spans="1:10">
      <c r="A23" s="13">
        <v>20</v>
      </c>
      <c r="B23" s="27" t="s">
        <v>263</v>
      </c>
      <c r="C23" s="14" t="s">
        <v>264</v>
      </c>
      <c r="D23" s="17">
        <v>24</v>
      </c>
      <c r="E23" s="13">
        <v>0.33</v>
      </c>
      <c r="F23" s="13">
        <v>8</v>
      </c>
      <c r="G23" s="13" t="s">
        <v>74</v>
      </c>
      <c r="H23" s="13">
        <v>3.6</v>
      </c>
      <c r="I23" s="13">
        <f t="shared" si="0"/>
        <v>28.8</v>
      </c>
      <c r="J23" s="13">
        <v>4</v>
      </c>
    </row>
    <row r="24" s="2" customFormat="1" ht="13.5" customHeight="1" spans="1:10">
      <c r="A24" s="13">
        <v>21</v>
      </c>
      <c r="B24" s="27" t="s">
        <v>265</v>
      </c>
      <c r="C24" s="14" t="s">
        <v>266</v>
      </c>
      <c r="D24" s="17">
        <v>24</v>
      </c>
      <c r="E24" s="13">
        <v>0.33</v>
      </c>
      <c r="F24" s="13">
        <v>8</v>
      </c>
      <c r="G24" s="13" t="s">
        <v>74</v>
      </c>
      <c r="H24" s="13">
        <v>4.3</v>
      </c>
      <c r="I24" s="13">
        <f t="shared" si="0"/>
        <v>34.4</v>
      </c>
      <c r="J24" s="13">
        <v>4.8</v>
      </c>
    </row>
    <row r="25" s="2" customFormat="1" ht="13.5" customHeight="1" spans="1:10">
      <c r="A25" s="13">
        <v>22</v>
      </c>
      <c r="B25" s="13" t="s">
        <v>23</v>
      </c>
      <c r="C25" s="14" t="s">
        <v>24</v>
      </c>
      <c r="D25" s="17">
        <v>16</v>
      </c>
      <c r="E25" s="13">
        <v>0.5</v>
      </c>
      <c r="F25" s="13">
        <v>6</v>
      </c>
      <c r="G25" s="13" t="s">
        <v>16</v>
      </c>
      <c r="H25" s="13">
        <v>26.8</v>
      </c>
      <c r="I25" s="13">
        <f t="shared" si="0"/>
        <v>160.8</v>
      </c>
      <c r="J25" s="13">
        <v>29.9</v>
      </c>
    </row>
    <row r="26" s="2" customFormat="1" ht="13.5" customHeight="1" spans="1:10">
      <c r="A26" s="13">
        <v>23</v>
      </c>
      <c r="B26" s="13" t="s">
        <v>14</v>
      </c>
      <c r="C26" s="14" t="s">
        <v>15</v>
      </c>
      <c r="D26" s="17">
        <v>16</v>
      </c>
      <c r="E26" s="13">
        <v>0.5</v>
      </c>
      <c r="F26" s="13">
        <v>10</v>
      </c>
      <c r="G26" s="13" t="s">
        <v>16</v>
      </c>
      <c r="H26" s="13">
        <v>26.8</v>
      </c>
      <c r="I26" s="13">
        <f t="shared" si="0"/>
        <v>268</v>
      </c>
      <c r="J26" s="13">
        <v>29.9</v>
      </c>
    </row>
    <row r="27" s="2" customFormat="1" ht="13.5" customHeight="1" spans="1:10">
      <c r="A27" s="13">
        <v>24</v>
      </c>
      <c r="B27" s="27" t="s">
        <v>267</v>
      </c>
      <c r="C27" s="14" t="s">
        <v>268</v>
      </c>
      <c r="D27" s="17">
        <v>12</v>
      </c>
      <c r="E27" s="13">
        <v>0.5</v>
      </c>
      <c r="F27" s="13">
        <v>6</v>
      </c>
      <c r="G27" s="13" t="s">
        <v>16</v>
      </c>
      <c r="H27" s="13">
        <v>23</v>
      </c>
      <c r="I27" s="13">
        <f t="shared" si="0"/>
        <v>138</v>
      </c>
      <c r="J27" s="13">
        <v>25.8</v>
      </c>
    </row>
    <row r="28" s="2" customFormat="1" ht="13.5" customHeight="1" spans="1:10">
      <c r="A28" s="13">
        <v>25</v>
      </c>
      <c r="B28" s="27" t="s">
        <v>269</v>
      </c>
      <c r="C28" s="14" t="s">
        <v>270</v>
      </c>
      <c r="D28" s="17">
        <v>12</v>
      </c>
      <c r="E28" s="13">
        <v>0.5</v>
      </c>
      <c r="F28" s="13">
        <v>6</v>
      </c>
      <c r="G28" s="13" t="s">
        <v>16</v>
      </c>
      <c r="H28" s="13">
        <v>24</v>
      </c>
      <c r="I28" s="13">
        <f t="shared" si="0"/>
        <v>144</v>
      </c>
      <c r="J28" s="13">
        <v>26.9</v>
      </c>
    </row>
    <row r="29" s="2" customFormat="1" ht="13.5" customHeight="1" spans="1:10">
      <c r="A29" s="13">
        <v>26</v>
      </c>
      <c r="B29" s="27" t="s">
        <v>271</v>
      </c>
      <c r="C29" s="14" t="s">
        <v>272</v>
      </c>
      <c r="D29" s="17">
        <v>12</v>
      </c>
      <c r="E29" s="13">
        <v>0.5</v>
      </c>
      <c r="F29" s="13">
        <v>6</v>
      </c>
      <c r="G29" s="13" t="s">
        <v>16</v>
      </c>
      <c r="H29" s="13">
        <v>24</v>
      </c>
      <c r="I29" s="13">
        <f t="shared" si="0"/>
        <v>144</v>
      </c>
      <c r="J29" s="13">
        <v>26.9</v>
      </c>
    </row>
    <row r="30" s="2" customFormat="1" ht="13.5" customHeight="1" spans="1:10">
      <c r="A30" s="13">
        <v>27</v>
      </c>
      <c r="B30" s="27" t="s">
        <v>273</v>
      </c>
      <c r="C30" s="14" t="s">
        <v>274</v>
      </c>
      <c r="D30" s="17">
        <v>20</v>
      </c>
      <c r="E30" s="13">
        <v>0.5</v>
      </c>
      <c r="F30" s="13">
        <v>10</v>
      </c>
      <c r="G30" s="13" t="s">
        <v>74</v>
      </c>
      <c r="H30" s="13">
        <v>9.8</v>
      </c>
      <c r="I30" s="13">
        <f t="shared" si="0"/>
        <v>98</v>
      </c>
      <c r="J30" s="13">
        <v>10.9</v>
      </c>
    </row>
    <row r="31" s="2" customFormat="1" ht="13.5" customHeight="1" spans="1:10">
      <c r="A31" s="13">
        <v>28</v>
      </c>
      <c r="B31" s="13" t="s">
        <v>275</v>
      </c>
      <c r="C31" s="14" t="s">
        <v>276</v>
      </c>
      <c r="D31" s="17">
        <v>20</v>
      </c>
      <c r="E31" s="13">
        <v>0.5</v>
      </c>
      <c r="F31" s="13">
        <v>10</v>
      </c>
      <c r="G31" s="13" t="s">
        <v>74</v>
      </c>
      <c r="H31" s="13">
        <v>9.8</v>
      </c>
      <c r="I31" s="13">
        <f t="shared" si="0"/>
        <v>98</v>
      </c>
      <c r="J31" s="13">
        <v>10.9</v>
      </c>
    </row>
    <row r="32" s="2" customFormat="1" ht="13.5" customHeight="1" spans="1:10">
      <c r="A32" s="13"/>
      <c r="B32" s="13"/>
      <c r="C32" s="13" t="s">
        <v>100</v>
      </c>
      <c r="D32" s="13"/>
      <c r="E32" s="25">
        <f>SUM(E4:E31)</f>
        <v>54.49</v>
      </c>
      <c r="F32" s="13"/>
      <c r="G32" s="13"/>
      <c r="H32" s="13"/>
      <c r="I32" s="13">
        <f>SUM(I4:I31)</f>
        <v>11633.4</v>
      </c>
      <c r="J32" s="18"/>
    </row>
    <row r="33" s="2" customFormat="1" ht="13.5" customHeight="1" spans="1:9">
      <c r="A33" s="9" t="s">
        <v>101</v>
      </c>
      <c r="B33" s="12"/>
      <c r="C33" s="9" t="s">
        <v>102</v>
      </c>
      <c r="D33" s="12"/>
      <c r="E33" s="12" t="s">
        <v>103</v>
      </c>
      <c r="F33" s="12"/>
      <c r="G33" s="12"/>
      <c r="H33" s="12"/>
      <c r="I33" s="12"/>
    </row>
    <row r="34" s="3" customFormat="1" ht="17.25" spans="1:9">
      <c r="A34" s="19"/>
      <c r="B34" s="19"/>
      <c r="C34" s="20"/>
      <c r="D34" s="19"/>
      <c r="E34" s="19"/>
      <c r="F34" s="19"/>
      <c r="G34" s="19"/>
      <c r="H34" s="19"/>
      <c r="I34" s="19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L15" sqref="L15"/>
    </sheetView>
  </sheetViews>
  <sheetFormatPr defaultColWidth="9" defaultRowHeight="16.5"/>
  <cols>
    <col min="1" max="1" width="5.25" style="4" customWidth="1"/>
    <col min="2" max="2" width="16.125" style="4" customWidth="1"/>
    <col min="3" max="3" width="32.75" style="5" customWidth="1"/>
    <col min="4" max="4" width="8" style="4" customWidth="1"/>
    <col min="5" max="5" width="6" style="4" customWidth="1"/>
    <col min="6" max="6" width="5.875" style="4" customWidth="1"/>
    <col min="7" max="7" width="4.625" style="4" customWidth="1"/>
    <col min="8" max="8" width="6.25" style="4" customWidth="1"/>
    <col min="9" max="9" width="11.4" style="4" customWidth="1"/>
    <col min="10" max="10" width="7.875" style="6" customWidth="1"/>
    <col min="11" max="16384" width="9" style="6"/>
  </cols>
  <sheetData>
    <row r="1" s="1" customFormat="1" ht="22.5" spans="1:10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45982</v>
      </c>
      <c r="G2" s="11"/>
      <c r="H2" s="11"/>
      <c r="I2" s="12"/>
    </row>
    <row r="3" s="2" customFormat="1" ht="16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5" customHeight="1" spans="1:10">
      <c r="A4" s="13">
        <v>1</v>
      </c>
      <c r="B4" s="13" t="s">
        <v>277</v>
      </c>
      <c r="C4" s="14" t="s">
        <v>278</v>
      </c>
      <c r="D4" s="17">
        <v>24</v>
      </c>
      <c r="E4" s="13">
        <v>10</v>
      </c>
      <c r="F4" s="13">
        <v>240</v>
      </c>
      <c r="G4" s="13" t="s">
        <v>53</v>
      </c>
      <c r="H4" s="13">
        <v>2.2</v>
      </c>
      <c r="I4" s="13">
        <f t="shared" ref="I4:I22" si="0">H4*F4</f>
        <v>528</v>
      </c>
      <c r="J4" s="13">
        <v>2.5</v>
      </c>
    </row>
    <row r="5" s="2" customFormat="1" ht="15" customHeight="1" spans="1:10">
      <c r="A5" s="13">
        <v>2</v>
      </c>
      <c r="B5" s="13" t="s">
        <v>84</v>
      </c>
      <c r="C5" s="14" t="s">
        <v>85</v>
      </c>
      <c r="D5" s="17">
        <v>15</v>
      </c>
      <c r="E5" s="13">
        <v>1</v>
      </c>
      <c r="F5" s="13">
        <v>15</v>
      </c>
      <c r="G5" s="13" t="s">
        <v>279</v>
      </c>
      <c r="H5" s="13">
        <v>9.9</v>
      </c>
      <c r="I5" s="13">
        <f t="shared" si="0"/>
        <v>148.5</v>
      </c>
      <c r="J5" s="21">
        <v>11.2</v>
      </c>
    </row>
    <row r="6" s="2" customFormat="1" ht="15" customHeight="1" spans="1:10">
      <c r="A6" s="13">
        <v>3</v>
      </c>
      <c r="B6" s="13" t="s">
        <v>86</v>
      </c>
      <c r="C6" s="14" t="s">
        <v>87</v>
      </c>
      <c r="D6" s="17">
        <v>15</v>
      </c>
      <c r="E6" s="13">
        <v>1</v>
      </c>
      <c r="F6" s="13">
        <v>15</v>
      </c>
      <c r="G6" s="13" t="s">
        <v>74</v>
      </c>
      <c r="H6" s="13">
        <v>11</v>
      </c>
      <c r="I6" s="13">
        <f t="shared" si="0"/>
        <v>165</v>
      </c>
      <c r="J6" s="21">
        <v>12.5</v>
      </c>
    </row>
    <row r="7" s="2" customFormat="1" ht="15" customHeight="1" spans="1:10">
      <c r="A7" s="13">
        <v>4</v>
      </c>
      <c r="B7" s="13" t="s">
        <v>280</v>
      </c>
      <c r="C7" s="14" t="s">
        <v>281</v>
      </c>
      <c r="D7" s="17">
        <v>24</v>
      </c>
      <c r="E7" s="13">
        <v>1</v>
      </c>
      <c r="F7" s="13">
        <v>24</v>
      </c>
      <c r="G7" s="13" t="s">
        <v>31</v>
      </c>
      <c r="H7" s="13">
        <v>9.4</v>
      </c>
      <c r="I7" s="13">
        <f t="shared" si="0"/>
        <v>225.6</v>
      </c>
      <c r="J7" s="13">
        <v>10.5</v>
      </c>
    </row>
    <row r="8" s="2" customFormat="1" ht="15" customHeight="1" spans="1:10">
      <c r="A8" s="13">
        <v>5</v>
      </c>
      <c r="B8" s="13" t="s">
        <v>282</v>
      </c>
      <c r="C8" s="14" t="s">
        <v>283</v>
      </c>
      <c r="D8" s="17">
        <v>12</v>
      </c>
      <c r="E8" s="13">
        <v>1</v>
      </c>
      <c r="F8" s="13">
        <v>12</v>
      </c>
      <c r="G8" s="13" t="s">
        <v>53</v>
      </c>
      <c r="H8" s="13">
        <v>8.5</v>
      </c>
      <c r="I8" s="13">
        <f t="shared" si="0"/>
        <v>102</v>
      </c>
      <c r="J8" s="13">
        <v>9.5</v>
      </c>
    </row>
    <row r="9" s="2" customFormat="1" ht="15" customHeight="1" spans="1:10">
      <c r="A9" s="13">
        <v>6</v>
      </c>
      <c r="B9" s="13" t="s">
        <v>284</v>
      </c>
      <c r="C9" s="14" t="s">
        <v>285</v>
      </c>
      <c r="D9" s="17">
        <v>12</v>
      </c>
      <c r="E9" s="13">
        <v>1</v>
      </c>
      <c r="F9" s="13">
        <v>12</v>
      </c>
      <c r="G9" s="13" t="s">
        <v>53</v>
      </c>
      <c r="H9" s="13">
        <v>4.5</v>
      </c>
      <c r="I9" s="13">
        <f t="shared" si="0"/>
        <v>54</v>
      </c>
      <c r="J9" s="21">
        <v>5</v>
      </c>
    </row>
    <row r="10" s="2" customFormat="1" ht="15" customHeight="1" spans="1:10">
      <c r="A10" s="13">
        <v>7</v>
      </c>
      <c r="B10" s="13" t="s">
        <v>286</v>
      </c>
      <c r="C10" s="14" t="s">
        <v>287</v>
      </c>
      <c r="D10" s="17">
        <v>9</v>
      </c>
      <c r="E10" s="13">
        <v>1</v>
      </c>
      <c r="F10" s="13">
        <v>9</v>
      </c>
      <c r="G10" s="13" t="s">
        <v>53</v>
      </c>
      <c r="H10" s="13">
        <v>13.9</v>
      </c>
      <c r="I10" s="13">
        <f t="shared" si="0"/>
        <v>125.1</v>
      </c>
      <c r="J10" s="13">
        <v>15.5</v>
      </c>
    </row>
    <row r="11" s="2" customFormat="1" ht="15" customHeight="1" spans="1:10">
      <c r="A11" s="13">
        <v>8</v>
      </c>
      <c r="B11" s="13" t="s">
        <v>288</v>
      </c>
      <c r="C11" s="14" t="s">
        <v>289</v>
      </c>
      <c r="D11" s="17">
        <v>12</v>
      </c>
      <c r="E11" s="13">
        <v>1</v>
      </c>
      <c r="F11" s="13">
        <v>12</v>
      </c>
      <c r="G11" s="13" t="s">
        <v>53</v>
      </c>
      <c r="H11" s="13">
        <v>10</v>
      </c>
      <c r="I11" s="13">
        <f t="shared" si="0"/>
        <v>120</v>
      </c>
      <c r="J11" s="21">
        <v>11.5</v>
      </c>
    </row>
    <row r="12" s="2" customFormat="1" ht="15" customHeight="1" spans="1:10">
      <c r="A12" s="13">
        <v>9</v>
      </c>
      <c r="B12" s="13" t="s">
        <v>290</v>
      </c>
      <c r="C12" s="14" t="s">
        <v>291</v>
      </c>
      <c r="D12" s="17">
        <v>6</v>
      </c>
      <c r="E12" s="13">
        <v>1</v>
      </c>
      <c r="F12" s="13">
        <v>6</v>
      </c>
      <c r="G12" s="13" t="s">
        <v>53</v>
      </c>
      <c r="H12" s="13">
        <v>11</v>
      </c>
      <c r="I12" s="13">
        <f t="shared" si="0"/>
        <v>66</v>
      </c>
      <c r="J12" s="21">
        <v>12</v>
      </c>
    </row>
    <row r="13" s="2" customFormat="1" ht="15" customHeight="1" spans="1:10">
      <c r="A13" s="13">
        <v>10</v>
      </c>
      <c r="B13" s="13" t="s">
        <v>292</v>
      </c>
      <c r="C13" s="14" t="s">
        <v>293</v>
      </c>
      <c r="D13" s="17">
        <v>12</v>
      </c>
      <c r="E13" s="13">
        <v>1</v>
      </c>
      <c r="F13" s="13">
        <v>12</v>
      </c>
      <c r="G13" s="13" t="s">
        <v>53</v>
      </c>
      <c r="H13" s="13">
        <v>9.5</v>
      </c>
      <c r="I13" s="13">
        <f t="shared" si="0"/>
        <v>114</v>
      </c>
      <c r="J13" s="13">
        <v>10.8</v>
      </c>
    </row>
    <row r="14" s="2" customFormat="1" ht="15" customHeight="1" spans="1:10">
      <c r="A14" s="13">
        <v>11</v>
      </c>
      <c r="B14" s="13" t="s">
        <v>294</v>
      </c>
      <c r="C14" s="14" t="s">
        <v>295</v>
      </c>
      <c r="D14" s="17">
        <v>16</v>
      </c>
      <c r="E14" s="13">
        <v>1</v>
      </c>
      <c r="F14" s="13">
        <v>16</v>
      </c>
      <c r="G14" s="13" t="s">
        <v>31</v>
      </c>
      <c r="H14" s="13">
        <v>10</v>
      </c>
      <c r="I14" s="13">
        <f t="shared" si="0"/>
        <v>160</v>
      </c>
      <c r="J14" s="13">
        <v>11.5</v>
      </c>
    </row>
    <row r="15" s="2" customFormat="1" ht="15" customHeight="1" spans="1:10">
      <c r="A15" s="13">
        <v>12</v>
      </c>
      <c r="B15" s="13" t="s">
        <v>296</v>
      </c>
      <c r="C15" s="14" t="s">
        <v>297</v>
      </c>
      <c r="D15" s="17">
        <v>20</v>
      </c>
      <c r="E15" s="13">
        <v>1</v>
      </c>
      <c r="F15" s="13">
        <v>20</v>
      </c>
      <c r="G15" s="13" t="s">
        <v>185</v>
      </c>
      <c r="H15" s="13">
        <v>16</v>
      </c>
      <c r="I15" s="13">
        <f t="shared" si="0"/>
        <v>320</v>
      </c>
      <c r="J15" s="13">
        <v>17.7</v>
      </c>
    </row>
    <row r="16" s="2" customFormat="1" ht="15" customHeight="1" spans="1:10">
      <c r="A16" s="13">
        <v>13</v>
      </c>
      <c r="B16" s="13" t="s">
        <v>298</v>
      </c>
      <c r="C16" s="14" t="s">
        <v>299</v>
      </c>
      <c r="D16" s="17">
        <v>20</v>
      </c>
      <c r="E16" s="13">
        <v>2</v>
      </c>
      <c r="F16" s="13">
        <v>40</v>
      </c>
      <c r="G16" s="13" t="s">
        <v>74</v>
      </c>
      <c r="H16" s="13">
        <v>6.2</v>
      </c>
      <c r="I16" s="13">
        <f t="shared" si="0"/>
        <v>248</v>
      </c>
      <c r="J16" s="21">
        <v>6.9</v>
      </c>
    </row>
    <row r="17" s="2" customFormat="1" ht="15" customHeight="1" spans="1:10">
      <c r="A17" s="13">
        <v>14</v>
      </c>
      <c r="B17" s="13" t="s">
        <v>300</v>
      </c>
      <c r="C17" s="14" t="s">
        <v>301</v>
      </c>
      <c r="D17" s="17">
        <v>8</v>
      </c>
      <c r="E17" s="13">
        <v>3</v>
      </c>
      <c r="F17" s="13">
        <v>24</v>
      </c>
      <c r="G17" s="13" t="s">
        <v>81</v>
      </c>
      <c r="H17" s="13">
        <v>58</v>
      </c>
      <c r="I17" s="13">
        <f t="shared" si="0"/>
        <v>1392</v>
      </c>
      <c r="J17" s="21">
        <v>65</v>
      </c>
    </row>
    <row r="18" s="2" customFormat="1" ht="15" customHeight="1" spans="1:10">
      <c r="A18" s="13">
        <v>15</v>
      </c>
      <c r="B18" s="13" t="s">
        <v>302</v>
      </c>
      <c r="C18" s="14" t="s">
        <v>303</v>
      </c>
      <c r="D18" s="17">
        <v>72</v>
      </c>
      <c r="E18" s="13">
        <v>1</v>
      </c>
      <c r="F18" s="13">
        <v>72</v>
      </c>
      <c r="G18" s="13" t="s">
        <v>74</v>
      </c>
      <c r="H18" s="13">
        <v>1.8</v>
      </c>
      <c r="I18" s="13">
        <f t="shared" si="0"/>
        <v>129.6</v>
      </c>
      <c r="J18" s="13">
        <v>2</v>
      </c>
    </row>
    <row r="19" s="2" customFormat="1" ht="15" customHeight="1" spans="1:10">
      <c r="A19" s="13">
        <v>16</v>
      </c>
      <c r="B19" s="13" t="s">
        <v>304</v>
      </c>
      <c r="C19" s="14" t="s">
        <v>305</v>
      </c>
      <c r="D19" s="17">
        <v>72</v>
      </c>
      <c r="E19" s="13">
        <v>1</v>
      </c>
      <c r="F19" s="13">
        <v>72</v>
      </c>
      <c r="G19" s="13" t="s">
        <v>74</v>
      </c>
      <c r="H19" s="13">
        <v>1.8</v>
      </c>
      <c r="I19" s="13">
        <f t="shared" si="0"/>
        <v>129.6</v>
      </c>
      <c r="J19" s="13">
        <v>2</v>
      </c>
    </row>
    <row r="20" s="2" customFormat="1" ht="15" customHeight="1" spans="1:10">
      <c r="A20" s="13">
        <v>17</v>
      </c>
      <c r="B20" s="13" t="s">
        <v>306</v>
      </c>
      <c r="C20" s="14" t="s">
        <v>307</v>
      </c>
      <c r="D20" s="17">
        <v>72</v>
      </c>
      <c r="E20" s="13">
        <v>1</v>
      </c>
      <c r="F20" s="13">
        <v>72</v>
      </c>
      <c r="G20" s="13" t="s">
        <v>74</v>
      </c>
      <c r="H20" s="13">
        <v>1.8</v>
      </c>
      <c r="I20" s="13">
        <f t="shared" si="0"/>
        <v>129.6</v>
      </c>
      <c r="J20" s="21">
        <v>2</v>
      </c>
    </row>
    <row r="21" s="2" customFormat="1" ht="15" customHeight="1" spans="1:10">
      <c r="A21" s="13">
        <v>18</v>
      </c>
      <c r="B21" s="27" t="s">
        <v>308</v>
      </c>
      <c r="C21" s="14" t="s">
        <v>309</v>
      </c>
      <c r="D21" s="17">
        <v>15</v>
      </c>
      <c r="E21" s="13">
        <v>1</v>
      </c>
      <c r="F21" s="13">
        <v>15</v>
      </c>
      <c r="G21" s="13" t="s">
        <v>53</v>
      </c>
      <c r="H21" s="13">
        <v>7</v>
      </c>
      <c r="I21" s="13">
        <f t="shared" si="0"/>
        <v>105</v>
      </c>
      <c r="J21" s="13">
        <v>7.8</v>
      </c>
    </row>
    <row r="22" s="2" customFormat="1" ht="15" customHeight="1" spans="1:10">
      <c r="A22" s="13">
        <v>19</v>
      </c>
      <c r="B22" s="13" t="s">
        <v>310</v>
      </c>
      <c r="C22" s="14" t="s">
        <v>311</v>
      </c>
      <c r="D22" s="17">
        <v>30</v>
      </c>
      <c r="E22" s="13">
        <v>0.3333</v>
      </c>
      <c r="F22" s="13">
        <v>10</v>
      </c>
      <c r="G22" s="13" t="s">
        <v>178</v>
      </c>
      <c r="H22" s="13">
        <v>5.4</v>
      </c>
      <c r="I22" s="13">
        <f t="shared" si="0"/>
        <v>54</v>
      </c>
      <c r="J22" s="21">
        <v>6</v>
      </c>
    </row>
    <row r="23" s="2" customFormat="1" ht="15" customHeight="1" spans="1:10">
      <c r="A23" s="13"/>
      <c r="B23" s="13"/>
      <c r="C23" s="13" t="s">
        <v>100</v>
      </c>
      <c r="D23" s="13"/>
      <c r="E23" s="13">
        <f>SUM(E4:E22)</f>
        <v>30.3333</v>
      </c>
      <c r="F23" s="13"/>
      <c r="G23" s="13"/>
      <c r="H23" s="13"/>
      <c r="I23" s="13">
        <f>SUM(I4:I22)</f>
        <v>4316</v>
      </c>
      <c r="J23" s="18"/>
    </row>
    <row r="24" s="2" customFormat="1" ht="21" customHeight="1" spans="1:10">
      <c r="A24" s="9" t="s">
        <v>101</v>
      </c>
      <c r="B24" s="12"/>
      <c r="C24" s="9" t="s">
        <v>102</v>
      </c>
      <c r="D24" s="12"/>
      <c r="E24" s="12" t="s">
        <v>103</v>
      </c>
      <c r="F24" s="12"/>
      <c r="G24" s="12"/>
      <c r="H24" s="12"/>
      <c r="I24" s="12"/>
    </row>
    <row r="25" s="3" customFormat="1" ht="17.25" spans="1:10">
      <c r="A25" s="19"/>
      <c r="B25" s="19"/>
      <c r="C25" s="20"/>
      <c r="D25" s="19"/>
      <c r="E25" s="19"/>
      <c r="F25" s="19"/>
      <c r="G25" s="19"/>
      <c r="H25" s="19"/>
      <c r="I25" s="19"/>
    </row>
    <row r="27" s="6" customFormat="1" spans="1:10">
      <c r="A27" s="4"/>
      <c r="B27" s="5"/>
      <c r="C27" s="4"/>
      <c r="D27" s="4"/>
      <c r="E27" s="4"/>
      <c r="F27" s="4"/>
      <c r="G27" s="4"/>
      <c r="H27" s="4"/>
    </row>
  </sheetData>
  <mergeCells count="2">
    <mergeCell ref="A1:J1"/>
    <mergeCell ref="F2:H2"/>
  </mergeCells>
  <conditionalFormatting sqref="B14">
    <cfRule type="duplicateValues" dxfId="0" priority="4"/>
  </conditionalFormatting>
  <conditionalFormatting sqref="B8:B9">
    <cfRule type="duplicateValues" dxfId="0" priority="6"/>
  </conditionalFormatting>
  <conditionalFormatting sqref="B10:B13">
    <cfRule type="duplicateValues" dxfId="0" priority="5"/>
  </conditionalFormatting>
  <conditionalFormatting sqref="B15:B18">
    <cfRule type="duplicateValues" dxfId="0" priority="3"/>
  </conditionalFormatting>
  <conditionalFormatting sqref="B19:B20">
    <cfRule type="duplicateValues" dxfId="0" priority="2"/>
  </conditionalFormatting>
  <conditionalFormatting sqref="B21:B22">
    <cfRule type="duplicateValues" dxfId="0" priority="1"/>
  </conditionalFormatting>
  <conditionalFormatting sqref="B1:B7 B23:B26 B28:B1048576">
    <cfRule type="duplicateValues" dxfId="0" priority="7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M21" sqref="M21"/>
    </sheetView>
  </sheetViews>
  <sheetFormatPr defaultColWidth="9" defaultRowHeight="16.5"/>
  <cols>
    <col min="1" max="1" width="5.25" style="4" customWidth="1"/>
    <col min="2" max="2" width="16.125" style="4" customWidth="1"/>
    <col min="3" max="3" width="32.75" style="5" customWidth="1"/>
    <col min="4" max="4" width="8" style="4" customWidth="1"/>
    <col min="5" max="5" width="6" style="4" customWidth="1"/>
    <col min="6" max="6" width="5.875" style="4" customWidth="1"/>
    <col min="7" max="7" width="4.625" style="4" customWidth="1"/>
    <col min="8" max="8" width="6.25" style="4" customWidth="1"/>
    <col min="9" max="9" width="11.4" style="4" customWidth="1"/>
    <col min="10" max="10" width="7.875" style="6" customWidth="1"/>
    <col min="11" max="16384" width="9" style="6"/>
  </cols>
  <sheetData>
    <row r="1" s="1" customFormat="1" ht="22.5" spans="1:10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5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45985</v>
      </c>
      <c r="G2" s="11"/>
      <c r="H2" s="11"/>
      <c r="I2" s="12"/>
    </row>
    <row r="3" s="2" customFormat="1" ht="16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5" customHeight="1" spans="1:10">
      <c r="A4" s="13">
        <v>1</v>
      </c>
      <c r="B4" s="13" t="s">
        <v>312</v>
      </c>
      <c r="C4" s="14" t="s">
        <v>313</v>
      </c>
      <c r="D4" s="17">
        <v>24</v>
      </c>
      <c r="E4" s="13">
        <v>1</v>
      </c>
      <c r="F4" s="13">
        <v>24</v>
      </c>
      <c r="G4" s="13" t="s">
        <v>31</v>
      </c>
      <c r="H4" s="13">
        <v>9.5</v>
      </c>
      <c r="I4" s="13">
        <f t="shared" ref="I4:I10" si="0">H4*F4</f>
        <v>228</v>
      </c>
      <c r="J4" s="13">
        <v>10.6</v>
      </c>
    </row>
    <row r="5" s="2" customFormat="1" ht="15" customHeight="1" spans="1:10">
      <c r="A5" s="13">
        <v>2</v>
      </c>
      <c r="B5" s="13" t="s">
        <v>314</v>
      </c>
      <c r="C5" s="14" t="s">
        <v>315</v>
      </c>
      <c r="D5" s="17">
        <v>24</v>
      </c>
      <c r="E5" s="13">
        <v>1</v>
      </c>
      <c r="F5" s="13">
        <v>24</v>
      </c>
      <c r="G5" s="13" t="s">
        <v>31</v>
      </c>
      <c r="H5" s="13">
        <v>7</v>
      </c>
      <c r="I5" s="13">
        <f t="shared" si="0"/>
        <v>168</v>
      </c>
      <c r="J5" s="21">
        <v>8</v>
      </c>
    </row>
    <row r="6" s="2" customFormat="1" ht="15" customHeight="1" spans="1:10">
      <c r="A6" s="13">
        <v>3</v>
      </c>
      <c r="B6" s="13" t="s">
        <v>316</v>
      </c>
      <c r="C6" s="14" t="s">
        <v>317</v>
      </c>
      <c r="D6" s="17">
        <v>12</v>
      </c>
      <c r="E6" s="13">
        <v>1</v>
      </c>
      <c r="F6" s="13">
        <v>12</v>
      </c>
      <c r="G6" s="13" t="s">
        <v>53</v>
      </c>
      <c r="H6" s="13">
        <v>8</v>
      </c>
      <c r="I6" s="13">
        <f t="shared" si="0"/>
        <v>96</v>
      </c>
      <c r="J6" s="21">
        <v>8.9</v>
      </c>
    </row>
    <row r="7" s="2" customFormat="1" ht="15" customHeight="1" spans="1:10">
      <c r="A7" s="13">
        <v>4</v>
      </c>
      <c r="B7" s="13" t="s">
        <v>318</v>
      </c>
      <c r="C7" s="14" t="s">
        <v>319</v>
      </c>
      <c r="D7" s="17">
        <v>12</v>
      </c>
      <c r="E7" s="13">
        <v>1</v>
      </c>
      <c r="F7" s="13">
        <v>12</v>
      </c>
      <c r="G7" s="13" t="s">
        <v>53</v>
      </c>
      <c r="H7" s="13">
        <v>2.75</v>
      </c>
      <c r="I7" s="13">
        <f t="shared" si="0"/>
        <v>33</v>
      </c>
      <c r="J7" s="13">
        <v>3</v>
      </c>
    </row>
    <row r="8" s="2" customFormat="1" ht="15" customHeight="1" spans="1:10">
      <c r="A8" s="13">
        <v>5</v>
      </c>
      <c r="B8" s="13" t="s">
        <v>320</v>
      </c>
      <c r="C8" s="14" t="s">
        <v>321</v>
      </c>
      <c r="D8" s="17">
        <v>12</v>
      </c>
      <c r="E8" s="13">
        <v>1</v>
      </c>
      <c r="F8" s="13">
        <v>12</v>
      </c>
      <c r="G8" s="13" t="s">
        <v>53</v>
      </c>
      <c r="H8" s="13">
        <v>2.75</v>
      </c>
      <c r="I8" s="13">
        <f t="shared" si="0"/>
        <v>33</v>
      </c>
      <c r="J8" s="13">
        <v>3</v>
      </c>
    </row>
    <row r="9" s="2" customFormat="1" ht="15" customHeight="1" spans="1:10">
      <c r="A9" s="13">
        <v>6</v>
      </c>
      <c r="B9" s="13" t="s">
        <v>322</v>
      </c>
      <c r="C9" s="14" t="s">
        <v>323</v>
      </c>
      <c r="D9" s="17">
        <v>24</v>
      </c>
      <c r="E9" s="13">
        <v>2</v>
      </c>
      <c r="F9" s="13">
        <v>48</v>
      </c>
      <c r="G9" s="13" t="s">
        <v>178</v>
      </c>
      <c r="H9" s="13">
        <v>14.3</v>
      </c>
      <c r="I9" s="13">
        <f t="shared" si="0"/>
        <v>686.4</v>
      </c>
      <c r="J9" s="21">
        <v>15.9</v>
      </c>
    </row>
    <row r="10" s="2" customFormat="1" ht="15" customHeight="1" spans="1:10">
      <c r="A10" s="13">
        <v>7</v>
      </c>
      <c r="B10" s="13" t="s">
        <v>324</v>
      </c>
      <c r="C10" s="14" t="s">
        <v>325</v>
      </c>
      <c r="D10" s="17">
        <v>4</v>
      </c>
      <c r="E10" s="13">
        <v>1</v>
      </c>
      <c r="F10" s="13">
        <v>4</v>
      </c>
      <c r="G10" s="13" t="s">
        <v>81</v>
      </c>
      <c r="H10" s="13">
        <v>58.8</v>
      </c>
      <c r="I10" s="13">
        <f t="shared" si="0"/>
        <v>235.2</v>
      </c>
      <c r="J10" s="13">
        <v>66</v>
      </c>
    </row>
    <row r="11" s="2" customFormat="1" ht="15" customHeight="1" spans="1:10">
      <c r="A11" s="13"/>
      <c r="B11" s="13"/>
      <c r="C11" s="13" t="s">
        <v>100</v>
      </c>
      <c r="D11" s="13"/>
      <c r="E11" s="13">
        <f>SUM(E4:E10)</f>
        <v>8</v>
      </c>
      <c r="F11" s="13"/>
      <c r="G11" s="13"/>
      <c r="H11" s="13"/>
      <c r="I11" s="13">
        <f>SUM(I4:I10)</f>
        <v>1479.6</v>
      </c>
      <c r="J11" s="18"/>
    </row>
    <row r="12" s="2" customFormat="1" ht="21" customHeight="1" spans="1:10">
      <c r="A12" s="9" t="s">
        <v>101</v>
      </c>
      <c r="B12" s="12"/>
      <c r="C12" s="9" t="s">
        <v>102</v>
      </c>
      <c r="D12" s="12"/>
      <c r="E12" s="12" t="s">
        <v>103</v>
      </c>
      <c r="F12" s="12"/>
      <c r="G12" s="12"/>
      <c r="H12" s="12"/>
      <c r="I12" s="12"/>
    </row>
    <row r="13" s="3" customFormat="1" ht="17.25" spans="1:10">
      <c r="A13" s="19"/>
      <c r="B13" s="19"/>
      <c r="C13" s="20"/>
      <c r="D13" s="19"/>
      <c r="E13" s="19"/>
      <c r="F13" s="19"/>
      <c r="G13" s="19"/>
      <c r="H13" s="19"/>
      <c r="I13" s="19"/>
    </row>
    <row r="15" s="6" customFormat="1" spans="1:10">
      <c r="A15" s="4"/>
      <c r="B15" s="5"/>
      <c r="C15" s="4"/>
      <c r="D15" s="4"/>
      <c r="E15" s="4"/>
      <c r="F15" s="4"/>
      <c r="G15" s="4"/>
      <c r="H15" s="4"/>
    </row>
  </sheetData>
  <mergeCells count="2">
    <mergeCell ref="A1:J1"/>
    <mergeCell ref="F2:H2"/>
  </mergeCells>
  <conditionalFormatting sqref="B10">
    <cfRule type="duplicateValues" dxfId="0" priority="1"/>
  </conditionalFormatting>
  <conditionalFormatting sqref="B8:B9">
    <cfRule type="duplicateValues" dxfId="0" priority="2"/>
  </conditionalFormatting>
  <conditionalFormatting sqref="B1:B7 B11:B14 B16:B1048576">
    <cfRule type="duplicateValues" dxfId="0" priority="3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M25" sqref="M25"/>
    </sheetView>
  </sheetViews>
  <sheetFormatPr defaultColWidth="9" defaultRowHeight="16.5" outlineLevelRow="7"/>
  <cols>
    <col min="1" max="1" width="5.25" style="4" customWidth="1"/>
    <col min="2" max="2" width="30.125" style="4" customWidth="1"/>
    <col min="3" max="3" width="25.375" style="5" customWidth="1"/>
    <col min="4" max="4" width="4.625" style="4" customWidth="1"/>
    <col min="5" max="5" width="8.375" style="4" customWidth="1"/>
    <col min="6" max="7" width="4.625" style="4" customWidth="1"/>
    <col min="8" max="8" width="6.25" style="4" customWidth="1"/>
    <col min="9" max="9" width="7.875" style="4" customWidth="1"/>
    <col min="10" max="10" width="7.875" style="6" customWidth="1"/>
    <col min="11" max="11" width="17.15" style="6" customWidth="1"/>
    <col min="12" max="16384" width="9" style="6"/>
  </cols>
  <sheetData>
    <row r="1" s="1" customFormat="1" ht="22.5" spans="1:10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8" customHeight="1" spans="1:10">
      <c r="A2" s="9" t="s">
        <v>1</v>
      </c>
      <c r="B2" s="9" t="s">
        <v>2</v>
      </c>
      <c r="C2" s="9"/>
      <c r="D2" s="10"/>
      <c r="E2" s="10" t="s">
        <v>3</v>
      </c>
      <c r="F2" s="11">
        <v>45987</v>
      </c>
      <c r="G2" s="11"/>
      <c r="H2" s="11"/>
      <c r="I2" s="12"/>
    </row>
    <row r="3" s="2" customFormat="1" ht="18" customHeight="1" spans="1:10">
      <c r="A3" s="13" t="s">
        <v>4</v>
      </c>
      <c r="B3" s="13" t="s">
        <v>5</v>
      </c>
      <c r="C3" s="14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</row>
    <row r="4" s="2" customFormat="1" ht="18" customHeight="1" spans="1:10">
      <c r="A4" s="13">
        <v>1</v>
      </c>
      <c r="B4" s="28" t="s">
        <v>326</v>
      </c>
      <c r="C4" s="16" t="s">
        <v>327</v>
      </c>
      <c r="D4" s="17">
        <v>1</v>
      </c>
      <c r="E4" s="13">
        <v>10</v>
      </c>
      <c r="F4" s="13">
        <v>10</v>
      </c>
      <c r="G4" s="13" t="s">
        <v>44</v>
      </c>
      <c r="H4" s="13">
        <v>470</v>
      </c>
      <c r="I4" s="13">
        <f>H4*F4</f>
        <v>4700</v>
      </c>
      <c r="J4" s="13">
        <v>480</v>
      </c>
    </row>
    <row r="5" s="2" customFormat="1" ht="18" customHeight="1" spans="1:10">
      <c r="A5" s="13">
        <v>2</v>
      </c>
      <c r="B5" s="15"/>
      <c r="C5" s="16" t="s">
        <v>328</v>
      </c>
      <c r="D5" s="17">
        <v>1</v>
      </c>
      <c r="E5" s="13">
        <v>1</v>
      </c>
      <c r="F5" s="13">
        <v>1</v>
      </c>
      <c r="G5" s="13" t="s">
        <v>329</v>
      </c>
      <c r="H5" s="13">
        <v>4034</v>
      </c>
      <c r="I5" s="13">
        <f>H5*F5</f>
        <v>4034</v>
      </c>
      <c r="J5" s="13">
        <v>4291</v>
      </c>
    </row>
    <row r="6" s="2" customFormat="1" ht="18" customHeight="1" spans="1:10">
      <c r="A6" s="13"/>
      <c r="B6" s="13"/>
      <c r="C6" s="13" t="s">
        <v>100</v>
      </c>
      <c r="D6" s="13"/>
      <c r="E6" s="13">
        <f>SUM(E4:E5)</f>
        <v>11</v>
      </c>
      <c r="F6" s="13"/>
      <c r="G6" s="13"/>
      <c r="H6" s="13"/>
      <c r="I6" s="13">
        <f>SUM(I4:I5)</f>
        <v>8734</v>
      </c>
      <c r="J6" s="18"/>
    </row>
    <row r="7" s="2" customFormat="1" ht="18" customHeight="1" spans="1:10">
      <c r="A7" s="9" t="s">
        <v>101</v>
      </c>
      <c r="B7" s="12"/>
      <c r="C7" s="9" t="s">
        <v>102</v>
      </c>
      <c r="D7" s="12"/>
      <c r="E7" s="12" t="s">
        <v>103</v>
      </c>
      <c r="F7" s="12"/>
      <c r="G7" s="12"/>
      <c r="H7" s="12"/>
      <c r="I7" s="12"/>
    </row>
    <row r="8" s="3" customFormat="1" ht="17.25" spans="1:10">
      <c r="A8" s="19"/>
      <c r="B8" s="19"/>
      <c r="C8" s="20"/>
      <c r="D8" s="19"/>
      <c r="E8" s="19"/>
      <c r="F8" s="19"/>
      <c r="G8" s="19"/>
      <c r="H8" s="19"/>
      <c r="I8" s="19"/>
    </row>
  </sheetData>
  <mergeCells count="2">
    <mergeCell ref="A1:J1"/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11.11自采</vt:lpstr>
      <vt:lpstr>11.14退货</vt:lpstr>
      <vt:lpstr>11.14定采</vt:lpstr>
      <vt:lpstr>11.14自采</vt:lpstr>
      <vt:lpstr>11.18自采</vt:lpstr>
      <vt:lpstr>11.18日用品</vt:lpstr>
      <vt:lpstr>11.21自采</vt:lpstr>
      <vt:lpstr>11.21日用品</vt:lpstr>
      <vt:lpstr>11.24日用品</vt:lpstr>
      <vt:lpstr>11.26定采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周丽</cp:lastModifiedBy>
  <dcterms:created xsi:type="dcterms:W3CDTF">2023-05-12T11:15:00Z</dcterms:created>
  <dcterms:modified xsi:type="dcterms:W3CDTF">2025-11-28T05:05:45Z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168632669E1A4FD096506B957EB0A7B0_12</vt:lpwstr>
  </property>
</Properties>
</file>