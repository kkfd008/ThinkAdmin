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5.12奶制品" sheetId="3" r:id="rId1"/>
    <sheet name="5.13自采" sheetId="2" r:id="rId2"/>
    <sheet name="5.14自采" sheetId="6" r:id="rId3"/>
    <sheet name="5.20奶制品" sheetId="7" r:id="rId4"/>
    <sheet name="5.26日用品" sheetId="5" r:id="rId5"/>
    <sheet name="5.27自采" sheetId="8" r:id="rId6"/>
    <sheet name="5.29日用品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<sst xmlns="http://schemas.openxmlformats.org/spreadsheetml/2006/main" count="590" uniqueCount="328">
  <si>
    <t>武汉海聘电子商务有限公司发货单（奶制品）</t>
  </si>
  <si>
    <t>客户：</t>
  </si>
  <si>
    <t>汇得行武汉商务局项目点/超市用品-翰林大厦</t>
  </si>
  <si>
    <t>日期：</t>
  </si>
  <si>
    <t>行号</t>
  </si>
  <si>
    <t>货号</t>
  </si>
  <si>
    <t>商品名称</t>
  </si>
  <si>
    <t>箱规</t>
  </si>
  <si>
    <t>箱数</t>
  </si>
  <si>
    <t>数量</t>
  </si>
  <si>
    <t>单位</t>
  </si>
  <si>
    <t>供货价</t>
  </si>
  <si>
    <t>金额汇总</t>
  </si>
  <si>
    <t>建议售价</t>
  </si>
  <si>
    <t>6923644286019</t>
  </si>
  <si>
    <t>蒙牛每日鲜语250ml</t>
  </si>
  <si>
    <t>瓶</t>
  </si>
  <si>
    <t>6923800534268</t>
  </si>
  <si>
    <t>光明180g畅优原味新鲜杯</t>
  </si>
  <si>
    <t>杯</t>
  </si>
  <si>
    <t>6922577766124</t>
  </si>
  <si>
    <t>悦鲜活纯牛奶450ml</t>
  </si>
  <si>
    <t>6907992106908</t>
  </si>
  <si>
    <t>伊利畅轻燕麦+紫米发酵乳250g</t>
  </si>
  <si>
    <t>6934665087653</t>
  </si>
  <si>
    <t>优益C</t>
  </si>
  <si>
    <t>6907992103594</t>
  </si>
  <si>
    <t>伊利红枣风味发酵乳450G</t>
  </si>
  <si>
    <t>6922577789482</t>
  </si>
  <si>
    <t>纯享果蔬红甜菜300G</t>
  </si>
  <si>
    <t>6922577789475</t>
  </si>
  <si>
    <t>纯享果蔬羽衣甘蓝300G</t>
  </si>
  <si>
    <t>6921168594474</t>
  </si>
  <si>
    <t>农夫山泉NFC橙汁</t>
  </si>
  <si>
    <t>6901209268816</t>
  </si>
  <si>
    <t>光明中屋顶原味酸奶0糖460g</t>
  </si>
  <si>
    <t>盒</t>
  </si>
  <si>
    <t>金额小计</t>
  </si>
  <si>
    <t>核准人：</t>
  </si>
  <si>
    <t>周丽</t>
  </si>
  <si>
    <t>配送单位（盖章）</t>
  </si>
  <si>
    <t>收货单位签收：</t>
  </si>
  <si>
    <t>武汉海聘电子商务有限公司发货单</t>
  </si>
  <si>
    <t>6907992516301</t>
  </si>
  <si>
    <t>伊利金典有机纯牛奶梦幻盖250ml*10</t>
  </si>
  <si>
    <t>提</t>
  </si>
  <si>
    <t>6907992507385</t>
  </si>
  <si>
    <t>伊利金典纯牛奶250ml*12</t>
  </si>
  <si>
    <t>6970037314354</t>
  </si>
  <si>
    <t>认养一头牛有机纯牛奶</t>
  </si>
  <si>
    <t>6920177945635</t>
  </si>
  <si>
    <t>施华蔻生姜精华洗发露控油型600ml</t>
  </si>
  <si>
    <t>6907469012534</t>
  </si>
  <si>
    <t>抢手杀虫剂无味600ml</t>
  </si>
  <si>
    <t>6902022135514</t>
  </si>
  <si>
    <t>蓝月亮深层洁净洗衣液薰衣草香3kg</t>
  </si>
  <si>
    <t>6902022135316</t>
  </si>
  <si>
    <t>蓝月亮深层清香洗衣液3kg</t>
  </si>
  <si>
    <t>6933735229542</t>
  </si>
  <si>
    <t>百菲酪水牛纯牛奶200ml*12</t>
  </si>
  <si>
    <t>6922255447833</t>
  </si>
  <si>
    <t>百岁山矿泉水348ml</t>
  </si>
  <si>
    <t>6922255451427</t>
  </si>
  <si>
    <t>百岁山矿泉水570ml</t>
  </si>
  <si>
    <t>8859015703152</t>
  </si>
  <si>
    <t>if100%椰子水1L</t>
  </si>
  <si>
    <t>8859015700168</t>
  </si>
  <si>
    <t>if100%椰子水350ml</t>
  </si>
  <si>
    <t>6921168558025</t>
  </si>
  <si>
    <t>东方树叶红茶500ml</t>
  </si>
  <si>
    <t>6921168558018</t>
  </si>
  <si>
    <t>东方树叶绿茶500ml</t>
  </si>
  <si>
    <t>6921168599097</t>
  </si>
  <si>
    <t>东方树叶黑乌龙茶500ml</t>
  </si>
  <si>
    <t>6921168596348</t>
  </si>
  <si>
    <t>东方树叶青柑普洱500ml</t>
  </si>
  <si>
    <t>6921168558049</t>
  </si>
  <si>
    <t>东方树叶茉莉花茶500ml</t>
  </si>
  <si>
    <t>6921168558032</t>
  </si>
  <si>
    <t>东方树叶乌龙茶500ml</t>
  </si>
  <si>
    <t>核准人：周丽</t>
  </si>
  <si>
    <t>6938749816122</t>
  </si>
  <si>
    <t>鲁花低芥酸特香菜籽油5L</t>
  </si>
  <si>
    <t>桶</t>
  </si>
  <si>
    <t>6916168616554</t>
  </si>
  <si>
    <t>鲁花5S压榨一级花生油5L</t>
  </si>
  <si>
    <t>6916168618862</t>
  </si>
  <si>
    <t>鲁花非转基因压榨玉米油5L</t>
  </si>
  <si>
    <t>6901209260698</t>
  </si>
  <si>
    <t>光明新鲜牧场460g</t>
  </si>
  <si>
    <t>6911988009777</t>
  </si>
  <si>
    <t>好吃点香脆腰果饼108g</t>
  </si>
  <si>
    <t>包</t>
  </si>
  <si>
    <t>6911988009760</t>
  </si>
  <si>
    <t>好吃点香脆杏仁饼108g</t>
  </si>
  <si>
    <t>6911988009784</t>
  </si>
  <si>
    <t>好吃点香脆核桃饼108g</t>
  </si>
  <si>
    <t>6901668200235</t>
  </si>
  <si>
    <t>太平香葱味梳打饼干100g</t>
  </si>
  <si>
    <t>袋</t>
  </si>
  <si>
    <t>6901668200013</t>
  </si>
  <si>
    <t>太平奶盐味梳打饼干100g</t>
  </si>
  <si>
    <t>6920912357662</t>
  </si>
  <si>
    <t>盼盼梅尼耶干蛋糕-奶香味100g</t>
  </si>
  <si>
    <t>6920912359970</t>
  </si>
  <si>
    <t>盼盼梅尼耶干蛋糕-柠檬味100g</t>
  </si>
  <si>
    <t>6931235800407</t>
  </si>
  <si>
    <t>无名小卒花椒锅巴麻辣味210g</t>
  </si>
  <si>
    <t>6975795360049</t>
  </si>
  <si>
    <t>滇二娃土豆片(麻辣味)80g</t>
  </si>
  <si>
    <t>6975795360155</t>
  </si>
  <si>
    <t>滇二娃土豆片糊辣味80g</t>
  </si>
  <si>
    <t>6924187842878</t>
  </si>
  <si>
    <t>洽洽喀吱脆韩式泡菜味40g</t>
  </si>
  <si>
    <t>条</t>
  </si>
  <si>
    <t>6924187848528</t>
  </si>
  <si>
    <t>洽洽喀吱脆葱香烤翅味40g</t>
  </si>
  <si>
    <t>6924187848542</t>
  </si>
  <si>
    <t>洽洽喀吱脆麻辣香锅味40g</t>
  </si>
  <si>
    <t>6924187848580</t>
  </si>
  <si>
    <t>洽洽喀吱脆铁板烧烤味40g</t>
  </si>
  <si>
    <t>6924187854598</t>
  </si>
  <si>
    <t>洽洽香瓜子130g</t>
  </si>
  <si>
    <t>6924187854581</t>
  </si>
  <si>
    <t>洽洽原香瓜子130g</t>
  </si>
  <si>
    <t>6951957210988</t>
  </si>
  <si>
    <t>劲仔深海小鱼卤香味12g*12</t>
  </si>
  <si>
    <t>6951957210971</t>
  </si>
  <si>
    <t>劲仔深海小鱼麻辣味12g*12</t>
  </si>
  <si>
    <t>6951957210964</t>
  </si>
  <si>
    <t>劲仔深海小鱼香辣味12g*12</t>
  </si>
  <si>
    <t>6901757303496</t>
  </si>
  <si>
    <t>老四川麻辣灯影牛肉50g</t>
  </si>
  <si>
    <t>6901757303502</t>
  </si>
  <si>
    <t>老四川五香灯影牛肉50g</t>
  </si>
  <si>
    <t>6901757301980</t>
  </si>
  <si>
    <t>老四川五香牛肉粒85g</t>
  </si>
  <si>
    <t>6902890250166</t>
  </si>
  <si>
    <t>双汇王中王(无淀粉火腿肠)40g*10支</t>
  </si>
  <si>
    <t>6902890257714</t>
  </si>
  <si>
    <t>双汇俄式熏烤肉肠（香辣）180g</t>
  </si>
  <si>
    <t>6920189004818</t>
  </si>
  <si>
    <t>豫竹脆丁壳点心面鸡翅味45g</t>
  </si>
  <si>
    <t>6920189004825</t>
  </si>
  <si>
    <t>豫竹脆丁壳点心面牛排味45g</t>
  </si>
  <si>
    <t>6920189004832</t>
  </si>
  <si>
    <t>豫竹脆丁壳点心面羊腿味45g</t>
  </si>
  <si>
    <t>6920189004856</t>
  </si>
  <si>
    <t>豫竹脆丁壳点心面蟹黄味45g</t>
  </si>
  <si>
    <t>6935270641988</t>
  </si>
  <si>
    <t>白象汤好喝老母鸡汤面五连包</t>
  </si>
  <si>
    <t>6935270641971</t>
  </si>
  <si>
    <t>白象汤好喝招牌猪骨汤面五连包</t>
  </si>
  <si>
    <t>6935270642107</t>
  </si>
  <si>
    <t>白象老母鸡汤桶面</t>
  </si>
  <si>
    <t>6935270642091</t>
  </si>
  <si>
    <t>白象招牌猪骨汤桶面</t>
  </si>
  <si>
    <t>6907992513829</t>
  </si>
  <si>
    <t>伊利安慕希高端颗粒黄桃燕麦味200g*10</t>
  </si>
  <si>
    <t>6904960800271</t>
  </si>
  <si>
    <t>味福生粉400g</t>
  </si>
  <si>
    <t>6902265120506</t>
  </si>
  <si>
    <t>海天金标生抽王500ml</t>
  </si>
  <si>
    <t>6922824055063</t>
  </si>
  <si>
    <t>李锦记锦珍生抽500ml</t>
  </si>
  <si>
    <t>6902265451419</t>
  </si>
  <si>
    <t>海天陈醋450ml</t>
  </si>
  <si>
    <t>6902265115496</t>
  </si>
  <si>
    <t>海天香醋445ml</t>
  </si>
  <si>
    <t>6902083813109</t>
  </si>
  <si>
    <t>娃哈哈纯净水5.5L</t>
  </si>
  <si>
    <t>6902083881412</t>
  </si>
  <si>
    <t>娃哈哈饮用纯净水1.5L</t>
  </si>
  <si>
    <t>6973497202360</t>
  </si>
  <si>
    <t>果子熟了金桂乌龙桂花味乌龙茶饮品500ml</t>
  </si>
  <si>
    <t>6973497202940</t>
  </si>
  <si>
    <t>果子熟了茉莉龙井茉莉花味龙井茶饮品500ml</t>
  </si>
  <si>
    <t>6973497202346</t>
  </si>
  <si>
    <t>果子熟了栀栀乌龙栀子花味乌龙茶饮品500ml</t>
  </si>
  <si>
    <t>6901010117440</t>
  </si>
  <si>
    <t>健力宝橙蜜味运动饮料瓶装500ml加送60ml</t>
  </si>
  <si>
    <t>6902083918101</t>
  </si>
  <si>
    <t>娃哈哈柠檬味苏打水500ml</t>
  </si>
  <si>
    <t>6902538008920</t>
  </si>
  <si>
    <t>脉动电解质运动饮料西柚口味600ml</t>
  </si>
  <si>
    <t>6937003701389</t>
  </si>
  <si>
    <t>元气森林外星人维C水柠檬500ml</t>
  </si>
  <si>
    <t>6937003701402</t>
  </si>
  <si>
    <t>元气森林外星人维C水蔓越莓500ml</t>
  </si>
  <si>
    <t>6937003706315</t>
  </si>
  <si>
    <t>元气森林外星人电解质青柠运动饮料600ml</t>
  </si>
  <si>
    <t>6970399922365</t>
  </si>
  <si>
    <t>元气森林外星人电解质荔枝海盐500ml</t>
  </si>
  <si>
    <t>6970399927247</t>
  </si>
  <si>
    <t>元气森林外星人电解质白桃味500ml</t>
  </si>
  <si>
    <t>6921168504015</t>
  </si>
  <si>
    <t>农夫尖叫活性肽（蓝）运动装550ml</t>
  </si>
  <si>
    <t>6921168504022</t>
  </si>
  <si>
    <t>农夫尖叫纤维（绿）运动装550ml</t>
  </si>
  <si>
    <t>6902083881085</t>
  </si>
  <si>
    <t>娃哈哈AD奶220ml*4</t>
  </si>
  <si>
    <t>排</t>
  </si>
  <si>
    <t>6902083890636</t>
  </si>
  <si>
    <t>娃哈哈爽歪歪200ml*4</t>
  </si>
  <si>
    <t>板</t>
  </si>
  <si>
    <t>6925303730574</t>
  </si>
  <si>
    <t>统一阿萨姆奶茶500ml</t>
  </si>
  <si>
    <t>6975041240101</t>
  </si>
  <si>
    <t>果零搭档100%NFC葡萄汁1L</t>
  </si>
  <si>
    <t>6975041240118</t>
  </si>
  <si>
    <t>果零搭档100%NFC苹果汁1L</t>
  </si>
  <si>
    <t>6975041240125</t>
  </si>
  <si>
    <t>果零搭档100%NFC桃汁1L</t>
  </si>
  <si>
    <t>6921168500956</t>
  </si>
  <si>
    <t>水溶C100柠檬味445ml</t>
  </si>
  <si>
    <t>6921168500970</t>
  </si>
  <si>
    <t>水溶C100西柚味445ml</t>
  </si>
  <si>
    <t>6921168550142</t>
  </si>
  <si>
    <t>农夫山泉维他命水柑橘风味500ml</t>
  </si>
  <si>
    <t>6904915641829</t>
  </si>
  <si>
    <t>蜂花小麦蛋白护发素450ml</t>
  </si>
  <si>
    <t>6904915642376</t>
  </si>
  <si>
    <t>蜂花蚕丝蛋白营养护发素450ml</t>
  </si>
  <si>
    <t>6901894127443</t>
  </si>
  <si>
    <t>白猫84消毒液700g</t>
  </si>
  <si>
    <t>6922868286621</t>
  </si>
  <si>
    <t>心相印2卷装75节印花厨房纸巾（KT102）</t>
  </si>
  <si>
    <t>6911352039409</t>
  </si>
  <si>
    <t>华美竹韵棕情礼盒(粽+咸鸭蛋)1.24kg</t>
  </si>
  <si>
    <t>6971343604900</t>
  </si>
  <si>
    <t>良品铺子粽情粽意礼盒1.1kg</t>
  </si>
  <si>
    <t>6937506806185</t>
  </si>
  <si>
    <t>三只松鼠龙跃礼粽礼盒1.2kg</t>
  </si>
  <si>
    <t>6913084212242</t>
  </si>
  <si>
    <t>神丹吉祥双福1200g</t>
  </si>
  <si>
    <t>6907619675121</t>
  </si>
  <si>
    <t>五芳斋丰享五芳粽礼盒1760q(粽+咸蛋)</t>
  </si>
  <si>
    <t>9300639602967</t>
  </si>
  <si>
    <t>德运全脂奶粉1kg</t>
  </si>
  <si>
    <t>6970870270947</t>
  </si>
  <si>
    <t>星巴克星选咖啡拿铁270ml</t>
  </si>
  <si>
    <t>6970870271715</t>
  </si>
  <si>
    <t>星巴克星选美式270ml</t>
  </si>
  <si>
    <t>7707211630912</t>
  </si>
  <si>
    <t>博恩经典原味冻干速溶咖啡85g</t>
  </si>
  <si>
    <t>7707211632541</t>
  </si>
  <si>
    <t>博恩香草风味冻干速溶咖啡85g</t>
  </si>
  <si>
    <t>7707211632206</t>
  </si>
  <si>
    <t>博恩杏仁酒风味冻干速溶咖啡85g</t>
  </si>
  <si>
    <t>7707211636778</t>
  </si>
  <si>
    <t>博恩意式特浓动感速溶咖啡85g</t>
  </si>
  <si>
    <t>7707211631209</t>
  </si>
  <si>
    <t>博恩低因冻干速溶咖啡85g</t>
  </si>
  <si>
    <t>6974352530192</t>
  </si>
  <si>
    <t>滴露杀菌消毒液1.2L</t>
  </si>
  <si>
    <t>6974352530130</t>
  </si>
  <si>
    <t>滴露衣物除菌液柠檬2.5L</t>
  </si>
  <si>
    <t>6901236383094</t>
  </si>
  <si>
    <t>维达厨房抽纸</t>
  </si>
  <si>
    <t>6901236300374</t>
  </si>
  <si>
    <t>维达厨房湿巾40+8片</t>
  </si>
  <si>
    <t>6924497915286</t>
  </si>
  <si>
    <t>福星高照1*2精装(福达坊750ml特级初榨橄榄油)</t>
  </si>
  <si>
    <t>6924497912643</t>
  </si>
  <si>
    <t>福达坊750m1特级初榨橄榄油(单瓶)</t>
  </si>
  <si>
    <t>6924497912650</t>
  </si>
  <si>
    <t>欧迪丽亚750m1特级初榨橄榄油(单瓶)</t>
  </si>
  <si>
    <t>6924497924929</t>
  </si>
  <si>
    <t>福达坊头道臻选山茶油1.8L</t>
  </si>
  <si>
    <t>6924497925001</t>
  </si>
  <si>
    <t>福星高照1*2精装(福达坊头道臻选山茶油750ml)</t>
  </si>
  <si>
    <t>6924497920938</t>
  </si>
  <si>
    <t>福星高照1*2精装(百年福达坊750m1亚麻籽油)</t>
  </si>
  <si>
    <t>6924497924660</t>
  </si>
  <si>
    <t>满汉全席物理压榨纯亚麻籽油5L</t>
  </si>
  <si>
    <t>壶</t>
  </si>
  <si>
    <t>6924497924653</t>
  </si>
  <si>
    <t>福达坊物理压榨纯亚麻籽油5L</t>
  </si>
  <si>
    <t>6924497913657</t>
  </si>
  <si>
    <t>福达坊252ml花椒油(非转)</t>
  </si>
  <si>
    <t>6924497918683</t>
  </si>
  <si>
    <t>福达坊460g糯米</t>
  </si>
  <si>
    <t>6924497921140</t>
  </si>
  <si>
    <t>福达坊500g绿豆</t>
  </si>
  <si>
    <t>6925303733704</t>
  </si>
  <si>
    <t>统一雅哈冰咖啡450ml</t>
  </si>
  <si>
    <t>6925911500521</t>
  </si>
  <si>
    <t>威露士精装衣领净500ml+500ml</t>
  </si>
  <si>
    <t>组</t>
  </si>
  <si>
    <t>6920354811524</t>
  </si>
  <si>
    <t>高露洁儿童牙刷 (2岁以上)</t>
  </si>
  <si>
    <t>支</t>
  </si>
  <si>
    <t>6921168520015</t>
  </si>
  <si>
    <t>农夫山泉饮用天然水1500ml</t>
  </si>
  <si>
    <t>6911567888458</t>
  </si>
  <si>
    <t>东古精制白醋500ml</t>
  </si>
  <si>
    <t>6922824075016</t>
  </si>
  <si>
    <t>李锦记精选老抽500ml</t>
  </si>
  <si>
    <t>6932041208029</t>
  </si>
  <si>
    <t>绿帝绿豆350g</t>
  </si>
  <si>
    <t>6932041207992</t>
  </si>
  <si>
    <t>绿帝冰糖500g</t>
  </si>
  <si>
    <t>6932041213184</t>
  </si>
  <si>
    <t>绿帝黄冰糖500g</t>
  </si>
  <si>
    <t>6934468006820</t>
  </si>
  <si>
    <t>五得利五星特精小麦粉2.5kg</t>
  </si>
  <si>
    <t>6920902900090</t>
  </si>
  <si>
    <t>精益珍沙琪玛蛋酥220g</t>
  </si>
  <si>
    <t>6931818968081</t>
  </si>
  <si>
    <t>张氏记蒜蓉辣椒酱230g</t>
  </si>
  <si>
    <t>6920902951689</t>
  </si>
  <si>
    <t>精益珍沙琪玛芝麻220g</t>
  </si>
  <si>
    <t>6924743924130</t>
  </si>
  <si>
    <t>乐事美国经典原味135g</t>
  </si>
  <si>
    <t>6920354811395</t>
  </si>
  <si>
    <t>高露洁纤柔牙刷1+1特惠装</t>
  </si>
  <si>
    <t>6920354832697</t>
  </si>
  <si>
    <t>高露洁超密丝宽柔洁双支装牙刷</t>
  </si>
  <si>
    <t>6924743924178</t>
  </si>
  <si>
    <t>乐事意大利香浓红烩味135g</t>
  </si>
  <si>
    <t>6901844593670</t>
  </si>
  <si>
    <t>味好美番茄沙司挤挤装240g</t>
  </si>
  <si>
    <t>6902265590712</t>
  </si>
  <si>
    <t>海天0金标蚝油（挤挤装）625g</t>
  </si>
  <si>
    <t>6902312300622</t>
  </si>
  <si>
    <t>榄菊加大盘野菊花蚊香(微烟)10圈155g</t>
  </si>
  <si>
    <t>6902312187889</t>
  </si>
  <si>
    <t>榄菊加大盘无烟型蚊香10圈175g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</si>
</sst>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1"/>
      <color theme="1"/>
      <name val="宋体"/>
      <charset val="134"/>
      <scheme val="minor"/>
    </font>
    <font>
      <sz val="14"/>
      <color theme="1"/>
      <name val="微软雅黑"/>
      <charset val="134"/>
    </font>
    <font>
      <sz val="10"/>
      <color theme="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0"/>
      <name val="微软雅黑"/>
      <charset val="0"/>
    </font>
    <font>
      <sz val="16"/>
      <color theme="1"/>
      <name val="微软雅黑"/>
      <charset val="134"/>
    </font>
    <font>
      <sz val="14"/>
      <color theme="1"/>
      <name val="宋体"/>
      <charset val="134"/>
    </font>
    <font>
      <sz val="10"/>
      <color theme="1"/>
      <name val="宋体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6" applyNumberFormat="0" applyAlignment="0" applyProtection="0">
      <alignment vertical="center"/>
    </xf>
    <xf numFmtId="0" fontId="21" fillId="4" borderId="7" applyNumberFormat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5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1" fillId="0" borderId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31" fontId="2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2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NumberFormat="1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7" fillId="0" borderId="0" xfId="0" applyFont="1" applyAlignme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shrinkToFit="1"/>
    </xf>
    <xf numFmtId="0" fontId="2" fillId="0" borderId="1" xfId="0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 applyProtection="1">
      <alignment horizontal="left" vertical="center"/>
    </xf>
    <xf numFmtId="0" fontId="11" fillId="0" borderId="1" xfId="0" applyNumberFormat="1" applyFont="1" applyFill="1" applyBorder="1" applyAlignment="1" applyProtection="1">
      <alignment horizontal="left" vertical="center" shrinkToFit="1"/>
    </xf>
    <xf numFmtId="0" fontId="2" fillId="0" borderId="1" xfId="49" applyNumberFormat="1" applyFont="1" applyFill="1" applyBorder="1" applyAlignment="1" applyProtection="1">
      <alignment horizontal="center" vertical="center"/>
      <protection locked="0"/>
    </xf>
    <xf numFmtId="0" fontId="11" fillId="0" borderId="1" xfId="0" applyNumberFormat="1" applyFont="1" applyFill="1" applyBorder="1" applyAlignment="1" applyProtection="1">
      <alignment horizontal="left" vertical="center"/>
    </xf>
    <xf numFmtId="0" fontId="11" fillId="0" borderId="1" xfId="0" applyNumberFormat="1" applyFont="1" applyFill="1" applyBorder="1" applyAlignment="1" applyProtection="1">
      <alignment horizontal="center"/>
    </xf>
    <xf numFmtId="0" fontId="2" fillId="0" borderId="1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31" fontId="2" fillId="0" borderId="0" xfId="0" applyNumberFormat="1" applyFont="1" applyAlignment="1">
      <alignment horizontal="center" vertical="center"/>
    </xf>
    <xf numFmtId="0" fontId="2" fillId="0" borderId="1" xfId="0" applyNumberFormat="1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1" xfId="0" applyFont="1" applyFill="1" applyBorder="1" applyAlignment="1" quotePrefix="1">
      <alignment horizontal="left" vertical="center"/>
    </xf>
    <xf numFmtId="0" fontId="11" fillId="0" borderId="1" xfId="0" applyNumberFormat="1" applyFont="1" applyFill="1" applyBorder="1" applyAlignment="1" applyProtection="1" quotePrefix="1">
      <alignment horizontal="left" vertical="center"/>
    </xf>
    <xf numFmtId="0" fontId="2" fillId="0" borderId="1" xfId="0" applyFont="1" applyBorder="1" applyAlignment="1" quotePrefix="1">
      <alignment horizontal="center" vertical="center"/>
    </xf>
    <xf numFmtId="0" fontId="2" fillId="0" borderId="1" xfId="0" applyFont="1" applyBorder="1" applyAlignment="1" quotePrefix="1">
      <alignment vertical="center"/>
    </xf>
    <xf numFmtId="176" fontId="11" fillId="0" borderId="1" xfId="0" applyNumberFormat="1" applyFont="1" applyFill="1" applyBorder="1" applyAlignment="1" applyProtection="1" quotePrefix="1">
      <alignment horizontal="left" vertical="center"/>
    </xf>
    <xf numFmtId="0" fontId="4" fillId="0" borderId="1" xfId="0" applyFont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www.wps.cn/officeDocument/2023/relationships/customStorage" Target="customStorage/customStorage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tabSelected="1" workbookViewId="0">
      <selection activeCell="O27" sqref="O27"/>
    </sheetView>
  </sheetViews>
  <sheetFormatPr defaultColWidth="9" defaultRowHeight="13.5"/>
  <cols>
    <col min="1" max="1" width="6.38333333333333" style="30" customWidth="1"/>
    <col min="2" max="2" width="18.25" style="31" customWidth="1"/>
    <col min="3" max="3" width="27.3833333333333" style="30" customWidth="1"/>
    <col min="4" max="4" width="4.75" style="30" customWidth="1"/>
    <col min="5" max="5" width="4.5" style="30" customWidth="1"/>
    <col min="6" max="6" width="4.88333333333333" style="30" customWidth="1"/>
    <col min="7" max="7" width="5.13333333333333" style="30" customWidth="1"/>
    <col min="8" max="8" width="6" style="30" customWidth="1"/>
    <col min="9" max="9" width="8.5" style="30" customWidth="1"/>
    <col min="10" max="10" width="8.88333333333333" style="31" customWidth="1"/>
    <col min="11" max="11" width="5.13333333333333" style="31" customWidth="1"/>
    <col min="12" max="16384" width="9" style="31"/>
  </cols>
  <sheetData>
    <row r="1" s="27" customFormat="1" ht="19" customHeight="1" spans="1:10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</row>
    <row r="2" s="28" customFormat="1" ht="13" customHeight="1" spans="1:10">
      <c r="A2" s="9" t="s">
        <v>1</v>
      </c>
      <c r="B2" s="9" t="s">
        <v>2</v>
      </c>
      <c r="C2" s="15"/>
      <c r="D2" s="10"/>
      <c r="E2" s="10" t="s">
        <v>3</v>
      </c>
      <c r="F2" s="11">
        <v>45789</v>
      </c>
      <c r="G2" s="11"/>
      <c r="H2" s="11"/>
      <c r="I2" s="15"/>
      <c r="J2" s="2"/>
    </row>
    <row r="3" s="28" customFormat="1" ht="13" customHeight="1" spans="1:10">
      <c r="A3" s="12" t="s">
        <v>4</v>
      </c>
      <c r="B3" s="12" t="s">
        <v>5</v>
      </c>
      <c r="C3" s="12" t="s">
        <v>6</v>
      </c>
      <c r="D3" s="12" t="s">
        <v>7</v>
      </c>
      <c r="E3" s="12" t="s">
        <v>8</v>
      </c>
      <c r="F3" s="12" t="s">
        <v>9</v>
      </c>
      <c r="G3" s="12" t="s">
        <v>10</v>
      </c>
      <c r="H3" s="12" t="s">
        <v>11</v>
      </c>
      <c r="I3" s="12" t="s">
        <v>12</v>
      </c>
      <c r="J3" s="12" t="s">
        <v>13</v>
      </c>
    </row>
    <row r="4" s="28" customFormat="1" ht="13" customHeight="1" spans="1:10">
      <c r="A4" s="12">
        <v>1</v>
      </c>
      <c r="B4" s="47" t="s">
        <v>14</v>
      </c>
      <c r="C4" s="34" t="s">
        <v>15</v>
      </c>
      <c r="D4" s="35"/>
      <c r="E4" s="12"/>
      <c r="F4" s="12">
        <v>28</v>
      </c>
      <c r="G4" s="35" t="s">
        <v>16</v>
      </c>
      <c r="H4" s="35">
        <v>9</v>
      </c>
      <c r="I4" s="12">
        <v>252</v>
      </c>
      <c r="J4" s="12">
        <v>9.9</v>
      </c>
    </row>
    <row r="5" s="28" customFormat="1" ht="13" customHeight="1" spans="1:10">
      <c r="A5" s="12">
        <v>2</v>
      </c>
      <c r="B5" s="36" t="s">
        <v>17</v>
      </c>
      <c r="C5" s="37" t="s">
        <v>18</v>
      </c>
      <c r="D5" s="35"/>
      <c r="E5" s="12"/>
      <c r="F5" s="12">
        <v>20</v>
      </c>
      <c r="G5" s="38" t="s">
        <v>19</v>
      </c>
      <c r="H5" s="35">
        <v>3.7</v>
      </c>
      <c r="I5" s="12">
        <v>74</v>
      </c>
      <c r="J5" s="12">
        <v>4</v>
      </c>
    </row>
    <row r="6" s="28" customFormat="1" ht="13" customHeight="1" spans="1:10">
      <c r="A6" s="12">
        <v>3</v>
      </c>
      <c r="B6" s="48" t="s">
        <v>20</v>
      </c>
      <c r="C6" s="37" t="s">
        <v>21</v>
      </c>
      <c r="D6" s="35"/>
      <c r="E6" s="12"/>
      <c r="F6" s="12">
        <v>20</v>
      </c>
      <c r="G6" s="40" t="s">
        <v>16</v>
      </c>
      <c r="H6" s="35">
        <v>12.7</v>
      </c>
      <c r="I6" s="12">
        <v>254</v>
      </c>
      <c r="J6" s="12">
        <v>12.9</v>
      </c>
    </row>
    <row r="7" s="28" customFormat="1" ht="13" customHeight="1" spans="1:10">
      <c r="A7" s="12">
        <v>4</v>
      </c>
      <c r="B7" s="48" t="s">
        <v>22</v>
      </c>
      <c r="C7" s="37" t="s">
        <v>23</v>
      </c>
      <c r="D7" s="35"/>
      <c r="E7" s="12"/>
      <c r="F7" s="12">
        <v>16</v>
      </c>
      <c r="G7" s="35" t="s">
        <v>19</v>
      </c>
      <c r="H7" s="35">
        <v>8.3</v>
      </c>
      <c r="I7" s="12">
        <v>132.8</v>
      </c>
      <c r="J7" s="12">
        <v>7.9</v>
      </c>
    </row>
    <row r="8" s="28" customFormat="1" ht="13" customHeight="1" spans="1:10">
      <c r="A8" s="12">
        <v>5</v>
      </c>
      <c r="B8" s="48" t="s">
        <v>24</v>
      </c>
      <c r="C8" s="37" t="s">
        <v>25</v>
      </c>
      <c r="D8" s="35"/>
      <c r="E8" s="12"/>
      <c r="F8" s="12">
        <v>6</v>
      </c>
      <c r="G8" s="38" t="s">
        <v>16</v>
      </c>
      <c r="H8" s="35">
        <v>5.8</v>
      </c>
      <c r="I8" s="12">
        <v>34.8</v>
      </c>
      <c r="J8" s="12">
        <v>6.5</v>
      </c>
    </row>
    <row r="9" s="28" customFormat="1" ht="13" customHeight="1" spans="1:10">
      <c r="A9" s="12">
        <v>6</v>
      </c>
      <c r="B9" s="48" t="s">
        <v>26</v>
      </c>
      <c r="C9" s="37" t="s">
        <v>27</v>
      </c>
      <c r="D9" s="35"/>
      <c r="E9" s="12"/>
      <c r="F9" s="12">
        <v>6</v>
      </c>
      <c r="G9" s="38" t="s">
        <v>16</v>
      </c>
      <c r="H9" s="35">
        <v>7.8</v>
      </c>
      <c r="I9" s="12">
        <v>46.8</v>
      </c>
      <c r="J9" s="12">
        <v>7.9</v>
      </c>
    </row>
    <row r="10" s="28" customFormat="1" ht="13" customHeight="1" spans="1:10">
      <c r="A10" s="12">
        <v>7</v>
      </c>
      <c r="B10" s="48" t="s">
        <v>28</v>
      </c>
      <c r="C10" s="37" t="s">
        <v>29</v>
      </c>
      <c r="D10" s="35"/>
      <c r="E10" s="12"/>
      <c r="F10" s="12">
        <v>14</v>
      </c>
      <c r="G10" s="35" t="s">
        <v>16</v>
      </c>
      <c r="H10" s="35">
        <v>8.5</v>
      </c>
      <c r="I10" s="12">
        <v>119</v>
      </c>
      <c r="J10" s="12">
        <v>9.9</v>
      </c>
    </row>
    <row r="11" s="28" customFormat="1" ht="13" customHeight="1" spans="1:10">
      <c r="A11" s="12">
        <v>8</v>
      </c>
      <c r="B11" s="48" t="s">
        <v>30</v>
      </c>
      <c r="C11" s="37" t="s">
        <v>31</v>
      </c>
      <c r="D11" s="35"/>
      <c r="E11" s="12"/>
      <c r="F11" s="12">
        <v>14</v>
      </c>
      <c r="G11" s="35" t="s">
        <v>16</v>
      </c>
      <c r="H11" s="35">
        <v>8.5</v>
      </c>
      <c r="I11" s="12">
        <v>119</v>
      </c>
      <c r="J11" s="12">
        <v>9.9</v>
      </c>
    </row>
    <row r="12" s="28" customFormat="1" ht="13" customHeight="1" spans="1:10">
      <c r="A12" s="12">
        <v>9</v>
      </c>
      <c r="B12" s="48" t="s">
        <v>32</v>
      </c>
      <c r="C12" s="37" t="s">
        <v>33</v>
      </c>
      <c r="D12" s="35"/>
      <c r="E12" s="12"/>
      <c r="F12" s="12">
        <v>24</v>
      </c>
      <c r="G12" s="35" t="s">
        <v>16</v>
      </c>
      <c r="H12" s="35">
        <v>8.5</v>
      </c>
      <c r="I12" s="12">
        <v>204</v>
      </c>
      <c r="J12" s="12">
        <v>9.5</v>
      </c>
    </row>
    <row r="13" s="28" customFormat="1" ht="13" customHeight="1" spans="1:10">
      <c r="A13" s="12">
        <v>10</v>
      </c>
      <c r="B13" s="48" t="s">
        <v>34</v>
      </c>
      <c r="C13" s="37" t="s">
        <v>35</v>
      </c>
      <c r="D13" s="35"/>
      <c r="E13" s="12"/>
      <c r="F13" s="12">
        <v>10</v>
      </c>
      <c r="G13" s="35" t="s">
        <v>36</v>
      </c>
      <c r="H13" s="35">
        <v>8.3</v>
      </c>
      <c r="I13" s="12">
        <v>83</v>
      </c>
      <c r="J13" s="12">
        <v>9</v>
      </c>
    </row>
    <row r="14" s="28" customFormat="1" ht="13" customHeight="1" spans="1:10">
      <c r="A14" s="12"/>
      <c r="B14" s="41"/>
      <c r="C14" s="12" t="s">
        <v>37</v>
      </c>
      <c r="D14" s="12"/>
      <c r="E14" s="12"/>
      <c r="F14" s="12"/>
      <c r="G14" s="12"/>
      <c r="H14" s="35"/>
      <c r="I14" s="12">
        <f>SUM(I4:I13)</f>
        <v>1319.4</v>
      </c>
      <c r="J14" s="12"/>
    </row>
    <row r="15" s="28" customFormat="1" ht="13" customHeight="1" spans="1:9">
      <c r="A15" s="9" t="s">
        <v>38</v>
      </c>
      <c r="B15" s="2" t="s">
        <v>39</v>
      </c>
      <c r="C15" s="15" t="s">
        <v>40</v>
      </c>
      <c r="D15" s="15"/>
      <c r="E15" s="15"/>
      <c r="F15" s="15"/>
      <c r="G15" s="15"/>
      <c r="H15" s="42" t="s">
        <v>41</v>
      </c>
      <c r="I15" s="15"/>
    </row>
    <row r="16" s="29" customFormat="1" ht="17.25" spans="1:14">
      <c r="A16" s="16"/>
      <c r="B16" s="3"/>
      <c r="C16" s="16"/>
      <c r="D16" s="16"/>
      <c r="E16" s="16"/>
      <c r="F16" s="16"/>
      <c r="G16" s="16"/>
      <c r="H16" s="16"/>
      <c r="I16" s="16"/>
      <c r="J16" s="3"/>
      <c r="N16" s="31"/>
    </row>
    <row r="17" s="31" customFormat="1" spans="1:9">
      <c r="A17" s="30"/>
      <c r="B17" s="31"/>
      <c r="C17" s="30"/>
      <c r="D17" s="30"/>
      <c r="E17" s="30"/>
      <c r="F17" s="30"/>
      <c r="G17" s="30"/>
      <c r="H17" s="30"/>
      <c r="I17" s="30"/>
    </row>
    <row r="18" s="31" customFormat="1" spans="1:9">
      <c r="A18" s="30"/>
      <c r="B18" s="31"/>
      <c r="C18" s="30"/>
      <c r="D18" s="30"/>
      <c r="E18" s="30"/>
      <c r="F18" s="30"/>
      <c r="G18" s="30"/>
      <c r="H18" s="30"/>
      <c r="I18" s="30"/>
    </row>
    <row r="19" s="31" customFormat="1" spans="1:9">
      <c r="A19" s="30"/>
      <c r="B19" s="31"/>
      <c r="C19" s="30"/>
      <c r="D19" s="30"/>
      <c r="E19" s="30"/>
      <c r="F19" s="30"/>
      <c r="G19" s="30"/>
      <c r="H19" s="30"/>
      <c r="I19" s="30"/>
    </row>
    <row r="20" s="31" customFormat="1" spans="1:9">
      <c r="A20" s="30"/>
      <c r="B20" s="31"/>
      <c r="C20" s="30"/>
      <c r="D20" s="30"/>
      <c r="E20" s="30"/>
      <c r="F20" s="30"/>
      <c r="G20" s="30"/>
      <c r="H20" s="30"/>
      <c r="I20" s="30"/>
    </row>
    <row r="21" s="31" customFormat="1" spans="1:9">
      <c r="A21" s="30"/>
      <c r="B21" s="31"/>
      <c r="C21" s="30"/>
      <c r="D21" s="30"/>
      <c r="E21" s="30"/>
      <c r="F21" s="30"/>
      <c r="G21" s="30"/>
      <c r="H21" s="30"/>
      <c r="I21" s="30"/>
    </row>
    <row r="22" s="31" customFormat="1" spans="1:9">
      <c r="A22" s="30"/>
      <c r="B22" s="31"/>
      <c r="C22" s="30"/>
      <c r="D22" s="30"/>
      <c r="E22" s="30"/>
      <c r="F22" s="30"/>
      <c r="G22" s="30"/>
      <c r="H22" s="30"/>
      <c r="I22" s="30"/>
    </row>
    <row r="23" s="31" customFormat="1" spans="1:9">
      <c r="A23" s="30"/>
      <c r="B23" s="31"/>
      <c r="C23" s="30"/>
      <c r="D23" s="30"/>
      <c r="E23" s="30"/>
      <c r="F23" s="30"/>
      <c r="G23" s="30"/>
      <c r="H23" s="30"/>
      <c r="I23" s="30"/>
    </row>
    <row r="24" s="31" customFormat="1" spans="1:9">
      <c r="A24" s="30"/>
      <c r="B24" s="31"/>
      <c r="C24" s="30"/>
      <c r="D24" s="30"/>
      <c r="E24" s="30"/>
      <c r="F24" s="30"/>
      <c r="G24" s="30"/>
      <c r="H24" s="30"/>
      <c r="I24" s="30"/>
    </row>
    <row r="25" s="31" customFormat="1" spans="1:9">
      <c r="A25" s="30"/>
      <c r="B25" s="31"/>
      <c r="C25" s="30"/>
      <c r="D25" s="30"/>
      <c r="E25" s="30"/>
      <c r="F25" s="30"/>
      <c r="G25" s="30"/>
      <c r="H25" s="30"/>
      <c r="I25" s="30"/>
    </row>
    <row r="26" s="31" customFormat="1" spans="1:9">
      <c r="A26" s="30"/>
      <c r="B26" s="31"/>
      <c r="C26" s="30"/>
      <c r="D26" s="30"/>
      <c r="E26" s="30"/>
      <c r="F26" s="30"/>
      <c r="G26" s="30"/>
      <c r="H26" s="30"/>
      <c r="I26" s="30"/>
    </row>
    <row r="27" s="31" customFormat="1" spans="1:9">
      <c r="A27" s="30"/>
      <c r="B27" s="31"/>
      <c r="C27" s="30"/>
      <c r="D27" s="30"/>
      <c r="E27" s="30"/>
      <c r="F27" s="30"/>
      <c r="G27" s="30"/>
      <c r="H27" s="30"/>
      <c r="I27" s="30"/>
    </row>
    <row r="28" s="31" customFormat="1" spans="1:9">
      <c r="A28" s="30"/>
      <c r="B28" s="31"/>
      <c r="C28" s="30"/>
      <c r="D28" s="30"/>
      <c r="E28" s="30"/>
      <c r="F28" s="30"/>
      <c r="G28" s="30"/>
      <c r="H28" s="30"/>
      <c r="I28" s="30"/>
    </row>
    <row r="29" s="31" customFormat="1" spans="1:9">
      <c r="A29" s="30"/>
      <c r="B29" s="31"/>
      <c r="C29" s="30"/>
      <c r="D29" s="30"/>
      <c r="E29" s="30"/>
      <c r="F29" s="30"/>
      <c r="G29" s="30"/>
      <c r="H29" s="30"/>
      <c r="I29" s="30"/>
    </row>
    <row r="30" s="31" customFormat="1" spans="1:9">
      <c r="A30" s="30"/>
      <c r="B30" s="31"/>
      <c r="C30" s="30"/>
      <c r="D30" s="30"/>
      <c r="E30" s="30"/>
      <c r="F30" s="30"/>
      <c r="G30" s="30"/>
      <c r="H30" s="30"/>
      <c r="I30" s="30"/>
    </row>
    <row r="31" s="31" customFormat="1" spans="1:9">
      <c r="A31" s="30"/>
      <c r="B31" s="31"/>
      <c r="C31" s="30"/>
      <c r="D31" s="30"/>
      <c r="E31" s="30"/>
      <c r="F31" s="30"/>
      <c r="G31" s="30"/>
      <c r="H31" s="30"/>
      <c r="I31" s="30"/>
    </row>
    <row r="32" s="31" customFormat="1" spans="1:9">
      <c r="A32" s="30"/>
      <c r="B32" s="31"/>
      <c r="C32" s="30"/>
      <c r="D32" s="30"/>
      <c r="E32" s="30"/>
      <c r="F32" s="30"/>
      <c r="G32" s="30"/>
      <c r="H32" s="30"/>
      <c r="I32" s="30"/>
    </row>
    <row r="33" s="31" customFormat="1" spans="1:9">
      <c r="A33" s="30"/>
      <c r="B33" s="31"/>
      <c r="C33" s="30"/>
      <c r="D33" s="30"/>
      <c r="E33" s="30"/>
      <c r="F33" s="30"/>
      <c r="G33" s="30"/>
      <c r="H33" s="30"/>
      <c r="I33" s="30"/>
    </row>
    <row r="34" s="31" customFormat="1" spans="1:9">
      <c r="A34" s="30"/>
      <c r="B34" s="31"/>
      <c r="C34" s="30"/>
      <c r="D34" s="30"/>
      <c r="E34" s="30"/>
      <c r="F34" s="30"/>
      <c r="G34" s="30"/>
      <c r="H34" s="30"/>
      <c r="I34" s="30"/>
    </row>
    <row r="35" s="31" customFormat="1" spans="1:9">
      <c r="A35" s="30"/>
      <c r="B35" s="31"/>
      <c r="C35" s="30"/>
      <c r="D35" s="30"/>
      <c r="E35" s="30"/>
      <c r="F35" s="30"/>
      <c r="G35" s="30"/>
      <c r="H35" s="30"/>
      <c r="I35" s="30"/>
    </row>
    <row r="36" s="31" customFormat="1" spans="1:9">
      <c r="A36" s="30"/>
      <c r="B36" s="31"/>
      <c r="C36" s="30"/>
      <c r="D36" s="30"/>
      <c r="E36" s="30"/>
      <c r="F36" s="30"/>
      <c r="G36" s="30"/>
      <c r="H36" s="30"/>
      <c r="I36" s="30"/>
    </row>
    <row r="37" s="31" customFormat="1" spans="1:9">
      <c r="A37" s="30"/>
      <c r="B37" s="31"/>
      <c r="C37" s="30"/>
      <c r="D37" s="30"/>
      <c r="E37" s="30"/>
      <c r="F37" s="30"/>
      <c r="G37" s="30"/>
      <c r="H37" s="30"/>
      <c r="I37" s="30"/>
    </row>
    <row r="38" s="31" customFormat="1" spans="1:9">
      <c r="A38" s="30"/>
      <c r="B38" s="31"/>
      <c r="C38" s="30"/>
      <c r="D38" s="30"/>
      <c r="E38" s="30"/>
      <c r="F38" s="30"/>
      <c r="G38" s="30"/>
      <c r="H38" s="30"/>
      <c r="I38" s="30"/>
    </row>
    <row r="39" s="31" customFormat="1" spans="1:9">
      <c r="A39" s="30"/>
      <c r="B39" s="31"/>
      <c r="C39" s="30"/>
      <c r="D39" s="30"/>
      <c r="E39" s="30"/>
      <c r="F39" s="30"/>
      <c r="G39" s="30"/>
      <c r="H39" s="30"/>
      <c r="I39" s="30"/>
    </row>
    <row r="40" s="31" customFormat="1" spans="1:9">
      <c r="A40" s="30"/>
      <c r="B40" s="31"/>
      <c r="C40" s="30"/>
      <c r="D40" s="30"/>
      <c r="E40" s="30"/>
      <c r="F40" s="30"/>
      <c r="G40" s="30"/>
      <c r="H40" s="30"/>
      <c r="I40" s="30"/>
    </row>
  </sheetData>
  <mergeCells count="2">
    <mergeCell ref="A1:J1"/>
    <mergeCell ref="F2:H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63"/>
  <sheetViews>
    <sheetView workbookViewId="0">
      <selection activeCell="E35" sqref="E35"/>
    </sheetView>
  </sheetViews>
  <sheetFormatPr defaultColWidth="9" defaultRowHeight="16.5"/>
  <cols>
    <col min="1" max="1" width="0.625" style="4" customWidth="1"/>
    <col min="2" max="2" width="5.25" style="5" customWidth="1"/>
    <col min="3" max="3" width="16.875" style="5" customWidth="1"/>
    <col min="4" max="4" width="29.625" style="6" customWidth="1"/>
    <col min="5" max="5" width="4.625" style="5" customWidth="1"/>
    <col min="6" max="6" width="4.375" style="5" customWidth="1"/>
    <col min="7" max="8" width="4.625" style="5" customWidth="1"/>
    <col min="9" max="9" width="6.25" style="5" customWidth="1"/>
    <col min="10" max="10" width="8.375" style="5" customWidth="1"/>
    <col min="11" max="11" width="7.875" style="4" customWidth="1"/>
    <col min="12" max="12" width="17.15" style="4" customWidth="1"/>
    <col min="13" max="16384" width="9" style="4"/>
  </cols>
  <sheetData>
    <row r="1" s="1" customFormat="1" ht="18" customHeight="1" spans="2:11">
      <c r="B1" s="32" t="s">
        <v>42</v>
      </c>
      <c r="C1" s="32"/>
      <c r="D1" s="46"/>
      <c r="E1" s="32"/>
      <c r="F1" s="32"/>
      <c r="G1" s="32"/>
      <c r="H1" s="32"/>
      <c r="I1" s="32"/>
      <c r="J1" s="32"/>
      <c r="K1" s="32"/>
    </row>
    <row r="2" s="2" customFormat="1" ht="14" customHeight="1" spans="2:10">
      <c r="B2" s="9" t="s">
        <v>1</v>
      </c>
      <c r="C2" s="9" t="s">
        <v>2</v>
      </c>
      <c r="D2" s="9"/>
      <c r="E2" s="10"/>
      <c r="F2" s="10" t="s">
        <v>3</v>
      </c>
      <c r="G2" s="11">
        <v>45790</v>
      </c>
      <c r="H2" s="11"/>
      <c r="I2" s="11"/>
      <c r="J2" s="15"/>
    </row>
    <row r="3" s="2" customFormat="1" ht="14" customHeight="1" spans="2:11">
      <c r="B3" s="12" t="s">
        <v>4</v>
      </c>
      <c r="C3" s="12" t="s">
        <v>5</v>
      </c>
      <c r="D3" s="13" t="s">
        <v>6</v>
      </c>
      <c r="E3" s="12" t="s">
        <v>7</v>
      </c>
      <c r="F3" s="12" t="s">
        <v>8</v>
      </c>
      <c r="G3" s="12" t="s">
        <v>9</v>
      </c>
      <c r="H3" s="12" t="s">
        <v>10</v>
      </c>
      <c r="I3" s="12" t="s">
        <v>11</v>
      </c>
      <c r="J3" s="12" t="s">
        <v>12</v>
      </c>
      <c r="K3" s="12" t="s">
        <v>13</v>
      </c>
    </row>
    <row r="4" s="2" customFormat="1" ht="14" customHeight="1" spans="2:11">
      <c r="B4" s="12">
        <v>1</v>
      </c>
      <c r="C4" s="12" t="s">
        <v>43</v>
      </c>
      <c r="D4" s="13" t="s">
        <v>44</v>
      </c>
      <c r="E4" s="14">
        <v>5</v>
      </c>
      <c r="F4" s="12">
        <v>3</v>
      </c>
      <c r="G4" s="12">
        <v>15</v>
      </c>
      <c r="H4" s="12" t="s">
        <v>45</v>
      </c>
      <c r="I4" s="12">
        <v>66</v>
      </c>
      <c r="J4" s="12">
        <f t="shared" ref="J4:J21" si="0">I4*G4</f>
        <v>990</v>
      </c>
      <c r="K4" s="12">
        <v>74</v>
      </c>
    </row>
    <row r="5" s="2" customFormat="1" ht="14" customHeight="1" spans="2:11">
      <c r="B5" s="12">
        <v>2</v>
      </c>
      <c r="C5" s="12" t="s">
        <v>46</v>
      </c>
      <c r="D5" s="13" t="s">
        <v>47</v>
      </c>
      <c r="E5" s="14">
        <v>6</v>
      </c>
      <c r="F5" s="12">
        <v>3</v>
      </c>
      <c r="G5" s="12">
        <v>18</v>
      </c>
      <c r="H5" s="12" t="s">
        <v>45</v>
      </c>
      <c r="I5" s="12">
        <v>53</v>
      </c>
      <c r="J5" s="12">
        <f t="shared" si="0"/>
        <v>954</v>
      </c>
      <c r="K5" s="12">
        <v>60</v>
      </c>
    </row>
    <row r="6" s="2" customFormat="1" ht="14" customHeight="1" spans="2:11">
      <c r="B6" s="12">
        <v>3</v>
      </c>
      <c r="C6" s="49" t="s">
        <v>48</v>
      </c>
      <c r="D6" s="13" t="s">
        <v>49</v>
      </c>
      <c r="E6" s="14">
        <v>2</v>
      </c>
      <c r="F6" s="12">
        <v>2</v>
      </c>
      <c r="G6" s="12">
        <v>4</v>
      </c>
      <c r="H6" s="12" t="s">
        <v>45</v>
      </c>
      <c r="I6" s="12">
        <v>56</v>
      </c>
      <c r="J6" s="12">
        <f t="shared" si="0"/>
        <v>224</v>
      </c>
      <c r="K6" s="12">
        <v>62</v>
      </c>
    </row>
    <row r="7" s="2" customFormat="1" ht="14" customHeight="1" spans="2:11">
      <c r="B7" s="12">
        <v>4</v>
      </c>
      <c r="C7" s="49" t="s">
        <v>50</v>
      </c>
      <c r="D7" s="13" t="s">
        <v>51</v>
      </c>
      <c r="E7" s="14">
        <v>12</v>
      </c>
      <c r="F7" s="12">
        <v>1</v>
      </c>
      <c r="G7" s="12">
        <v>12</v>
      </c>
      <c r="H7" s="12" t="s">
        <v>16</v>
      </c>
      <c r="I7" s="12">
        <v>80</v>
      </c>
      <c r="J7" s="12">
        <f t="shared" si="0"/>
        <v>960</v>
      </c>
      <c r="K7" s="12">
        <v>90</v>
      </c>
    </row>
    <row r="8" s="2" customFormat="1" ht="14" customHeight="1" spans="2:11">
      <c r="B8" s="12">
        <v>5</v>
      </c>
      <c r="C8" s="49" t="s">
        <v>52</v>
      </c>
      <c r="D8" s="13" t="s">
        <v>53</v>
      </c>
      <c r="E8" s="14">
        <v>24</v>
      </c>
      <c r="F8" s="12">
        <v>0.5</v>
      </c>
      <c r="G8" s="12">
        <v>12</v>
      </c>
      <c r="H8" s="12" t="s">
        <v>16</v>
      </c>
      <c r="I8" s="12">
        <v>23</v>
      </c>
      <c r="J8" s="12">
        <f t="shared" si="0"/>
        <v>276</v>
      </c>
      <c r="K8" s="12">
        <v>25.8</v>
      </c>
    </row>
    <row r="9" s="2" customFormat="1" ht="14" customHeight="1" spans="2:11">
      <c r="B9" s="12">
        <v>6</v>
      </c>
      <c r="C9" s="49" t="s">
        <v>54</v>
      </c>
      <c r="D9" s="13" t="s">
        <v>55</v>
      </c>
      <c r="E9" s="14">
        <v>4</v>
      </c>
      <c r="F9" s="12">
        <v>2</v>
      </c>
      <c r="G9" s="12">
        <v>8</v>
      </c>
      <c r="H9" s="12" t="s">
        <v>16</v>
      </c>
      <c r="I9" s="12">
        <v>45.6</v>
      </c>
      <c r="J9" s="12">
        <f t="shared" si="0"/>
        <v>364.8</v>
      </c>
      <c r="K9" s="12">
        <v>49.9</v>
      </c>
    </row>
    <row r="10" s="2" customFormat="1" ht="14" customHeight="1" spans="2:11">
      <c r="B10" s="12">
        <v>7</v>
      </c>
      <c r="C10" s="12" t="s">
        <v>56</v>
      </c>
      <c r="D10" s="13" t="s">
        <v>57</v>
      </c>
      <c r="E10" s="14">
        <v>4</v>
      </c>
      <c r="F10" s="12">
        <v>2</v>
      </c>
      <c r="G10" s="12">
        <v>8</v>
      </c>
      <c r="H10" s="12" t="s">
        <v>16</v>
      </c>
      <c r="I10" s="12">
        <v>45.6</v>
      </c>
      <c r="J10" s="12">
        <f t="shared" si="0"/>
        <v>364.8</v>
      </c>
      <c r="K10" s="12">
        <v>49.9</v>
      </c>
    </row>
    <row r="11" s="2" customFormat="1" ht="14" customHeight="1" spans="2:11">
      <c r="B11" s="12">
        <v>8</v>
      </c>
      <c r="C11" s="49" t="s">
        <v>58</v>
      </c>
      <c r="D11" s="13" t="s">
        <v>59</v>
      </c>
      <c r="E11" s="14">
        <v>6</v>
      </c>
      <c r="F11" s="12">
        <v>4</v>
      </c>
      <c r="G11" s="12">
        <v>24</v>
      </c>
      <c r="H11" s="12" t="s">
        <v>45</v>
      </c>
      <c r="I11" s="12">
        <v>55</v>
      </c>
      <c r="J11" s="12">
        <f t="shared" si="0"/>
        <v>1320</v>
      </c>
      <c r="K11" s="12">
        <v>62</v>
      </c>
    </row>
    <row r="12" s="2" customFormat="1" ht="14" customHeight="1" spans="2:11">
      <c r="B12" s="12">
        <v>9</v>
      </c>
      <c r="C12" s="12" t="s">
        <v>60</v>
      </c>
      <c r="D12" s="13" t="s">
        <v>61</v>
      </c>
      <c r="E12" s="14">
        <v>24</v>
      </c>
      <c r="F12" s="12">
        <v>4</v>
      </c>
      <c r="G12" s="12">
        <v>96</v>
      </c>
      <c r="H12" s="12" t="s">
        <v>16</v>
      </c>
      <c r="I12" s="12">
        <v>1.8</v>
      </c>
      <c r="J12" s="12">
        <f t="shared" si="0"/>
        <v>172.8</v>
      </c>
      <c r="K12" s="12">
        <v>2</v>
      </c>
    </row>
    <row r="13" s="2" customFormat="1" ht="14" customHeight="1" spans="2:11">
      <c r="B13" s="12">
        <v>10</v>
      </c>
      <c r="C13" s="12" t="s">
        <v>62</v>
      </c>
      <c r="D13" s="13" t="s">
        <v>63</v>
      </c>
      <c r="E13" s="14">
        <v>24</v>
      </c>
      <c r="F13" s="12">
        <v>4</v>
      </c>
      <c r="G13" s="12">
        <v>96</v>
      </c>
      <c r="H13" s="12" t="s">
        <v>16</v>
      </c>
      <c r="I13" s="12">
        <v>2.2</v>
      </c>
      <c r="J13" s="12">
        <f t="shared" si="0"/>
        <v>211.2</v>
      </c>
      <c r="K13" s="12">
        <v>2.5</v>
      </c>
    </row>
    <row r="14" s="2" customFormat="1" ht="14" customHeight="1" spans="2:11">
      <c r="B14" s="12">
        <v>11</v>
      </c>
      <c r="C14" s="49" t="s">
        <v>64</v>
      </c>
      <c r="D14" s="13" t="s">
        <v>65</v>
      </c>
      <c r="E14" s="14">
        <v>12</v>
      </c>
      <c r="F14" s="12">
        <v>6</v>
      </c>
      <c r="G14" s="12">
        <v>72</v>
      </c>
      <c r="H14" s="12" t="s">
        <v>16</v>
      </c>
      <c r="I14" s="12">
        <v>15</v>
      </c>
      <c r="J14" s="12">
        <f t="shared" si="0"/>
        <v>1080</v>
      </c>
      <c r="K14" s="12">
        <v>16.8</v>
      </c>
    </row>
    <row r="15" s="2" customFormat="1" ht="14" customHeight="1" spans="2:11">
      <c r="B15" s="12">
        <v>12</v>
      </c>
      <c r="C15" s="49" t="s">
        <v>66</v>
      </c>
      <c r="D15" s="13" t="s">
        <v>67</v>
      </c>
      <c r="E15" s="14">
        <v>24</v>
      </c>
      <c r="F15" s="12">
        <v>10</v>
      </c>
      <c r="G15" s="12">
        <v>240</v>
      </c>
      <c r="H15" s="12" t="s">
        <v>16</v>
      </c>
      <c r="I15" s="12">
        <v>6.5</v>
      </c>
      <c r="J15" s="12">
        <f t="shared" si="0"/>
        <v>1560</v>
      </c>
      <c r="K15" s="12">
        <v>7.5</v>
      </c>
    </row>
    <row r="16" s="2" customFormat="1" ht="14" customHeight="1" spans="2:11">
      <c r="B16" s="12">
        <v>13</v>
      </c>
      <c r="C16" s="49" t="s">
        <v>68</v>
      </c>
      <c r="D16" s="13" t="s">
        <v>69</v>
      </c>
      <c r="E16" s="14">
        <v>15</v>
      </c>
      <c r="F16" s="12">
        <v>6</v>
      </c>
      <c r="G16" s="12">
        <v>90</v>
      </c>
      <c r="H16" s="12" t="s">
        <v>16</v>
      </c>
      <c r="I16" s="12">
        <v>4.6</v>
      </c>
      <c r="J16" s="12">
        <f t="shared" si="0"/>
        <v>414</v>
      </c>
      <c r="K16" s="12">
        <v>5</v>
      </c>
    </row>
    <row r="17" s="2" customFormat="1" ht="14" customHeight="1" spans="2:11">
      <c r="B17" s="12">
        <v>14</v>
      </c>
      <c r="C17" s="49" t="s">
        <v>70</v>
      </c>
      <c r="D17" s="13" t="s">
        <v>71</v>
      </c>
      <c r="E17" s="14">
        <v>15</v>
      </c>
      <c r="F17" s="12">
        <v>6</v>
      </c>
      <c r="G17" s="12">
        <v>90</v>
      </c>
      <c r="H17" s="12" t="s">
        <v>16</v>
      </c>
      <c r="I17" s="12">
        <v>4.6</v>
      </c>
      <c r="J17" s="12">
        <f t="shared" si="0"/>
        <v>414</v>
      </c>
      <c r="K17" s="12">
        <v>5</v>
      </c>
    </row>
    <row r="18" s="2" customFormat="1" ht="14" customHeight="1" spans="2:11">
      <c r="B18" s="12">
        <v>15</v>
      </c>
      <c r="C18" s="49" t="s">
        <v>72</v>
      </c>
      <c r="D18" s="13" t="s">
        <v>73</v>
      </c>
      <c r="E18" s="14">
        <v>15</v>
      </c>
      <c r="F18" s="12">
        <v>6</v>
      </c>
      <c r="G18" s="12">
        <v>90</v>
      </c>
      <c r="H18" s="12" t="s">
        <v>16</v>
      </c>
      <c r="I18" s="12">
        <v>4.6</v>
      </c>
      <c r="J18" s="12">
        <f t="shared" si="0"/>
        <v>414</v>
      </c>
      <c r="K18" s="12">
        <v>5</v>
      </c>
    </row>
    <row r="19" s="2" customFormat="1" ht="14" customHeight="1" spans="2:11">
      <c r="B19" s="12">
        <v>16</v>
      </c>
      <c r="C19" s="49" t="s">
        <v>74</v>
      </c>
      <c r="D19" s="13" t="s">
        <v>75</v>
      </c>
      <c r="E19" s="14">
        <v>15</v>
      </c>
      <c r="F19" s="12">
        <v>6</v>
      </c>
      <c r="G19" s="12">
        <v>90</v>
      </c>
      <c r="H19" s="12" t="s">
        <v>16</v>
      </c>
      <c r="I19" s="12">
        <v>4.6</v>
      </c>
      <c r="J19" s="12">
        <f t="shared" si="0"/>
        <v>414</v>
      </c>
      <c r="K19" s="12">
        <v>5</v>
      </c>
    </row>
    <row r="20" s="2" customFormat="1" ht="14" customHeight="1" spans="2:11">
      <c r="B20" s="12">
        <v>17</v>
      </c>
      <c r="C20" s="49" t="s">
        <v>76</v>
      </c>
      <c r="D20" s="13" t="s">
        <v>77</v>
      </c>
      <c r="E20" s="14">
        <v>15</v>
      </c>
      <c r="F20" s="12">
        <v>6</v>
      </c>
      <c r="G20" s="12">
        <v>90</v>
      </c>
      <c r="H20" s="12" t="s">
        <v>16</v>
      </c>
      <c r="I20" s="12">
        <v>4.6</v>
      </c>
      <c r="J20" s="12">
        <f t="shared" si="0"/>
        <v>414</v>
      </c>
      <c r="K20" s="12">
        <v>5</v>
      </c>
    </row>
    <row r="21" s="2" customFormat="1" ht="14" customHeight="1" spans="2:11">
      <c r="B21" s="12">
        <v>18</v>
      </c>
      <c r="C21" s="49" t="s">
        <v>78</v>
      </c>
      <c r="D21" s="13" t="s">
        <v>79</v>
      </c>
      <c r="E21" s="14">
        <v>15</v>
      </c>
      <c r="F21" s="12">
        <v>6</v>
      </c>
      <c r="G21" s="12">
        <v>90</v>
      </c>
      <c r="H21" s="12" t="s">
        <v>16</v>
      </c>
      <c r="I21" s="12">
        <v>4.6</v>
      </c>
      <c r="J21" s="12">
        <f t="shared" si="0"/>
        <v>414</v>
      </c>
      <c r="K21" s="12">
        <v>5</v>
      </c>
    </row>
    <row r="22" s="2" customFormat="1" ht="14" customHeight="1" spans="2:11">
      <c r="B22" s="12"/>
      <c r="C22" s="12"/>
      <c r="D22" s="12" t="s">
        <v>37</v>
      </c>
      <c r="E22" s="12"/>
      <c r="F22" s="12">
        <f>SUM(F4:F21)</f>
        <v>77.5</v>
      </c>
      <c r="G22" s="12"/>
      <c r="H22" s="12"/>
      <c r="I22" s="12"/>
      <c r="J22" s="12">
        <f>SUM(J4:J21)</f>
        <v>10961.6</v>
      </c>
      <c r="K22" s="19"/>
    </row>
    <row r="23" s="2" customFormat="1" ht="14" customHeight="1" spans="2:10">
      <c r="B23" s="9" t="s">
        <v>80</v>
      </c>
      <c r="C23" s="15"/>
      <c r="D23" s="9" t="s">
        <v>40</v>
      </c>
      <c r="E23" s="15"/>
      <c r="F23" s="15" t="s">
        <v>41</v>
      </c>
      <c r="G23" s="15"/>
      <c r="H23" s="15"/>
      <c r="I23" s="15"/>
      <c r="J23" s="15"/>
    </row>
    <row r="24" s="3" customFormat="1" ht="17.25" spans="2:10">
      <c r="B24" s="16"/>
      <c r="C24" s="16"/>
      <c r="D24" s="17"/>
      <c r="E24" s="16"/>
      <c r="F24" s="16"/>
      <c r="G24" s="16"/>
      <c r="H24" s="16"/>
      <c r="I24" s="16"/>
      <c r="J24" s="16"/>
    </row>
    <row r="25" s="4" customFormat="1" spans="2:10">
      <c r="B25" s="5"/>
      <c r="C25" s="5"/>
      <c r="D25" s="6"/>
      <c r="E25" s="5"/>
      <c r="F25" s="5"/>
      <c r="G25" s="5"/>
      <c r="H25" s="5"/>
      <c r="I25" s="5"/>
      <c r="J25" s="5"/>
    </row>
    <row r="26" s="4" customFormat="1" spans="2:10">
      <c r="B26" s="5"/>
      <c r="C26" s="5"/>
      <c r="D26" s="6"/>
      <c r="E26" s="5"/>
      <c r="F26" s="5"/>
      <c r="G26" s="5"/>
      <c r="H26" s="5"/>
      <c r="I26" s="5"/>
      <c r="J26" s="5"/>
    </row>
    <row r="27" s="4" customFormat="1" spans="2:10">
      <c r="B27" s="5"/>
      <c r="C27" s="5"/>
      <c r="D27" s="6"/>
      <c r="E27" s="5"/>
      <c r="F27" s="5"/>
      <c r="G27" s="5"/>
      <c r="H27" s="5"/>
      <c r="I27" s="5"/>
      <c r="J27" s="5"/>
    </row>
    <row r="28" s="4" customFormat="1" spans="2:10">
      <c r="B28" s="5"/>
      <c r="C28" s="5"/>
      <c r="D28" s="6"/>
      <c r="E28" s="5"/>
      <c r="F28" s="5"/>
      <c r="G28" s="5"/>
      <c r="H28" s="5"/>
      <c r="I28" s="5"/>
      <c r="J28" s="5"/>
    </row>
    <row r="29" s="4" customFormat="1" spans="2:10">
      <c r="B29" s="5"/>
      <c r="C29" s="5"/>
      <c r="D29" s="6"/>
      <c r="E29" s="5"/>
      <c r="F29" s="5"/>
      <c r="G29" s="5"/>
      <c r="H29" s="5"/>
      <c r="I29" s="5"/>
      <c r="J29" s="5"/>
    </row>
    <row r="30" s="4" customFormat="1" spans="2:10">
      <c r="B30" s="5"/>
      <c r="C30" s="5"/>
      <c r="D30" s="6"/>
      <c r="E30" s="5"/>
      <c r="F30" s="5"/>
      <c r="G30" s="5"/>
      <c r="H30" s="5"/>
      <c r="I30" s="5"/>
      <c r="J30" s="5"/>
    </row>
    <row r="31" s="4" customFormat="1" spans="2:10">
      <c r="B31" s="5"/>
      <c r="C31" s="5"/>
      <c r="D31" s="6"/>
      <c r="E31" s="5"/>
      <c r="F31" s="5"/>
      <c r="G31" s="5"/>
      <c r="H31" s="5"/>
      <c r="I31" s="5"/>
      <c r="J31" s="5"/>
    </row>
    <row r="32" s="4" customFormat="1" spans="2:10">
      <c r="B32" s="5"/>
      <c r="C32" s="5"/>
      <c r="D32" s="6"/>
      <c r="E32" s="5"/>
      <c r="F32" s="5"/>
      <c r="G32" s="5"/>
      <c r="H32" s="5"/>
      <c r="I32" s="5"/>
      <c r="J32" s="5"/>
    </row>
    <row r="33" s="4" customFormat="1" spans="2:10">
      <c r="B33" s="5"/>
      <c r="C33" s="5"/>
      <c r="D33" s="6"/>
      <c r="E33" s="5"/>
      <c r="F33" s="5"/>
      <c r="G33" s="5"/>
      <c r="H33" s="5"/>
      <c r="I33" s="5"/>
      <c r="J33" s="5"/>
    </row>
    <row r="34" s="4" customFormat="1" spans="2:10">
      <c r="B34" s="5"/>
      <c r="C34" s="5"/>
      <c r="D34" s="6"/>
      <c r="E34" s="5"/>
      <c r="F34" s="5"/>
      <c r="G34" s="5"/>
      <c r="H34" s="5"/>
      <c r="I34" s="5"/>
      <c r="J34" s="5"/>
    </row>
    <row r="35" s="4" customFormat="1" spans="2:10">
      <c r="B35" s="5"/>
      <c r="C35" s="5"/>
      <c r="D35" s="6"/>
      <c r="E35" s="5"/>
      <c r="F35" s="5"/>
      <c r="G35" s="5"/>
      <c r="H35" s="5"/>
      <c r="I35" s="5"/>
      <c r="J35" s="5"/>
    </row>
    <row r="36" s="4" customFormat="1" spans="2:10">
      <c r="B36" s="5"/>
      <c r="C36" s="5"/>
      <c r="D36" s="6"/>
      <c r="E36" s="5"/>
      <c r="F36" s="5"/>
      <c r="G36" s="5"/>
      <c r="H36" s="5"/>
      <c r="I36" s="5"/>
      <c r="J36" s="5"/>
    </row>
    <row r="37" s="4" customFormat="1" spans="2:10">
      <c r="B37" s="5"/>
      <c r="C37" s="5"/>
      <c r="D37" s="6"/>
      <c r="E37" s="5"/>
      <c r="F37" s="5"/>
      <c r="G37" s="5"/>
      <c r="H37" s="5"/>
      <c r="I37" s="5"/>
      <c r="J37" s="5"/>
    </row>
    <row r="38" s="4" customFormat="1" spans="2:10">
      <c r="B38" s="5"/>
      <c r="C38" s="5"/>
      <c r="D38" s="6"/>
      <c r="E38" s="5"/>
      <c r="F38" s="5"/>
      <c r="G38" s="5"/>
      <c r="H38" s="5"/>
      <c r="I38" s="5"/>
      <c r="J38" s="5"/>
    </row>
    <row r="39" s="4" customFormat="1" spans="2:10">
      <c r="B39" s="5"/>
      <c r="C39" s="5"/>
      <c r="D39" s="6"/>
      <c r="E39" s="5"/>
      <c r="F39" s="5"/>
      <c r="G39" s="5"/>
      <c r="H39" s="5"/>
      <c r="I39" s="5"/>
      <c r="J39" s="5"/>
    </row>
    <row r="40" s="4" customFormat="1" spans="2:10">
      <c r="B40" s="5"/>
      <c r="C40" s="5"/>
      <c r="D40" s="6"/>
      <c r="E40" s="5"/>
      <c r="F40" s="5"/>
      <c r="G40" s="5"/>
      <c r="H40" s="5"/>
      <c r="I40" s="5"/>
      <c r="J40" s="5"/>
    </row>
    <row r="41" s="4" customFormat="1" spans="2:10">
      <c r="B41" s="5"/>
      <c r="C41" s="5"/>
      <c r="D41" s="6"/>
      <c r="E41" s="5"/>
      <c r="F41" s="5"/>
      <c r="G41" s="5"/>
      <c r="H41" s="5"/>
      <c r="I41" s="5"/>
      <c r="J41" s="5"/>
    </row>
    <row r="42" s="4" customFormat="1" spans="2:10">
      <c r="B42" s="5"/>
      <c r="C42" s="5"/>
      <c r="D42" s="6"/>
      <c r="E42" s="5"/>
      <c r="F42" s="5"/>
      <c r="G42" s="5"/>
      <c r="H42" s="5"/>
      <c r="I42" s="5"/>
      <c r="J42" s="5"/>
    </row>
    <row r="43" s="4" customFormat="1" spans="2:10">
      <c r="B43" s="5"/>
      <c r="C43" s="5"/>
      <c r="D43" s="6"/>
      <c r="E43" s="5"/>
      <c r="F43" s="5"/>
      <c r="G43" s="5"/>
      <c r="H43" s="5"/>
      <c r="I43" s="5"/>
      <c r="J43" s="5"/>
    </row>
    <row r="44" s="4" customFormat="1" spans="2:10">
      <c r="B44" s="5"/>
      <c r="C44" s="5"/>
      <c r="D44" s="6"/>
      <c r="E44" s="5"/>
      <c r="F44" s="5"/>
      <c r="G44" s="5"/>
      <c r="H44" s="5"/>
      <c r="I44" s="5"/>
      <c r="J44" s="5"/>
    </row>
    <row r="45" s="4" customFormat="1" spans="2:10">
      <c r="B45" s="5"/>
      <c r="C45" s="5"/>
      <c r="D45" s="6"/>
      <c r="E45" s="5"/>
      <c r="F45" s="5"/>
      <c r="G45" s="5"/>
      <c r="H45" s="5"/>
      <c r="I45" s="5"/>
      <c r="J45" s="5"/>
    </row>
    <row r="46" s="4" customFormat="1" spans="2:10">
      <c r="B46" s="5"/>
      <c r="C46" s="5"/>
      <c r="D46" s="6"/>
      <c r="E46" s="5"/>
      <c r="F46" s="5"/>
      <c r="G46" s="5"/>
      <c r="H46" s="5"/>
      <c r="I46" s="5"/>
      <c r="J46" s="5"/>
    </row>
    <row r="47" s="4" customFormat="1" spans="2:10">
      <c r="B47" s="5"/>
      <c r="C47" s="5"/>
      <c r="D47" s="6"/>
      <c r="E47" s="5"/>
      <c r="F47" s="5"/>
      <c r="G47" s="5"/>
      <c r="H47" s="5"/>
      <c r="I47" s="5"/>
      <c r="J47" s="5"/>
    </row>
    <row r="48" s="4" customFormat="1" spans="2:10">
      <c r="B48" s="5"/>
      <c r="C48" s="5"/>
      <c r="D48" s="6"/>
      <c r="E48" s="5"/>
      <c r="F48" s="5"/>
      <c r="G48" s="5"/>
      <c r="H48" s="5"/>
      <c r="I48" s="5"/>
      <c r="J48" s="5"/>
    </row>
    <row r="49" s="4" customFormat="1" spans="2:10">
      <c r="B49" s="5"/>
      <c r="C49" s="5"/>
      <c r="D49" s="6"/>
      <c r="E49" s="5"/>
      <c r="F49" s="5"/>
      <c r="G49" s="5"/>
      <c r="H49" s="5"/>
      <c r="I49" s="5"/>
      <c r="J49" s="5"/>
    </row>
    <row r="50" s="4" customFormat="1" spans="2:10">
      <c r="B50" s="5"/>
      <c r="C50" s="5"/>
      <c r="D50" s="6"/>
      <c r="E50" s="5"/>
      <c r="F50" s="5"/>
      <c r="G50" s="5"/>
      <c r="H50" s="5"/>
      <c r="I50" s="5"/>
      <c r="J50" s="5"/>
    </row>
    <row r="51" s="4" customFormat="1" spans="2:10">
      <c r="B51" s="5"/>
      <c r="C51" s="5"/>
      <c r="D51" s="6"/>
      <c r="E51" s="5"/>
      <c r="F51" s="5"/>
      <c r="G51" s="5"/>
      <c r="H51" s="5"/>
      <c r="I51" s="5"/>
      <c r="J51" s="5"/>
    </row>
    <row r="52" s="4" customFormat="1" spans="2:10">
      <c r="B52" s="5"/>
      <c r="C52" s="5"/>
      <c r="D52" s="6"/>
      <c r="E52" s="5"/>
      <c r="F52" s="5"/>
      <c r="G52" s="5"/>
      <c r="H52" s="5"/>
      <c r="I52" s="5"/>
      <c r="J52" s="5"/>
    </row>
    <row r="53" s="4" customFormat="1" spans="2:10">
      <c r="B53" s="5"/>
      <c r="C53" s="5"/>
      <c r="D53" s="6"/>
      <c r="E53" s="5"/>
      <c r="F53" s="5"/>
      <c r="G53" s="5"/>
      <c r="H53" s="5"/>
      <c r="I53" s="5"/>
      <c r="J53" s="5"/>
    </row>
    <row r="54" s="4" customFormat="1" spans="2:10">
      <c r="B54" s="5"/>
      <c r="C54" s="5"/>
      <c r="D54" s="6"/>
      <c r="E54" s="5"/>
      <c r="F54" s="5"/>
      <c r="G54" s="5"/>
      <c r="H54" s="5"/>
      <c r="I54" s="5"/>
      <c r="J54" s="5"/>
    </row>
    <row r="55" s="4" customFormat="1" spans="2:10">
      <c r="B55" s="5"/>
      <c r="C55" s="5"/>
      <c r="D55" s="6"/>
      <c r="E55" s="5"/>
      <c r="F55" s="5"/>
      <c r="G55" s="5"/>
      <c r="H55" s="5"/>
      <c r="I55" s="5"/>
      <c r="J55" s="5"/>
    </row>
    <row r="56" s="4" customFormat="1" spans="2:10">
      <c r="B56" s="5"/>
      <c r="C56" s="5"/>
      <c r="D56" s="6"/>
      <c r="E56" s="5"/>
      <c r="F56" s="5"/>
      <c r="G56" s="5"/>
      <c r="H56" s="5"/>
      <c r="I56" s="5"/>
      <c r="J56" s="5"/>
    </row>
    <row r="57" s="4" customFormat="1" spans="2:10">
      <c r="B57" s="5"/>
      <c r="C57" s="5"/>
      <c r="D57" s="6"/>
      <c r="E57" s="5"/>
      <c r="F57" s="5"/>
      <c r="G57" s="5"/>
      <c r="H57" s="5"/>
      <c r="I57" s="5"/>
      <c r="J57" s="5"/>
    </row>
    <row r="58" s="4" customFormat="1" spans="2:10">
      <c r="B58" s="5"/>
      <c r="C58" s="5"/>
      <c r="D58" s="6"/>
      <c r="E58" s="5"/>
      <c r="F58" s="5"/>
      <c r="G58" s="5"/>
      <c r="H58" s="5"/>
      <c r="I58" s="5"/>
      <c r="J58" s="5"/>
    </row>
    <row r="59" s="4" customFormat="1" spans="2:10">
      <c r="B59" s="5"/>
      <c r="C59" s="5"/>
      <c r="D59" s="6"/>
      <c r="E59" s="5"/>
      <c r="F59" s="5"/>
      <c r="G59" s="5"/>
      <c r="H59" s="5"/>
      <c r="I59" s="5"/>
      <c r="J59" s="5"/>
    </row>
    <row r="60" s="4" customFormat="1" spans="2:10">
      <c r="B60" s="5"/>
      <c r="C60" s="5"/>
      <c r="D60" s="6"/>
      <c r="E60" s="5"/>
      <c r="F60" s="5"/>
      <c r="G60" s="5"/>
      <c r="H60" s="5"/>
      <c r="I60" s="5"/>
      <c r="J60" s="5"/>
    </row>
    <row r="61" s="4" customFormat="1" spans="2:10">
      <c r="B61" s="5"/>
      <c r="C61" s="5"/>
      <c r="D61" s="6"/>
      <c r="E61" s="5"/>
      <c r="F61" s="5"/>
      <c r="G61" s="5"/>
      <c r="H61" s="5"/>
      <c r="I61" s="5"/>
      <c r="J61" s="5"/>
    </row>
    <row r="63" s="4" customFormat="1" spans="2:10">
      <c r="B63" s="5"/>
      <c r="C63" s="5"/>
      <c r="D63" s="6"/>
      <c r="E63" s="5"/>
      <c r="F63" s="5"/>
      <c r="G63" s="5"/>
      <c r="H63" s="5"/>
      <c r="I63" s="5"/>
      <c r="J63" s="5"/>
    </row>
  </sheetData>
  <mergeCells count="2">
    <mergeCell ref="B1:K1"/>
    <mergeCell ref="G2:I2"/>
  </mergeCells>
  <conditionalFormatting sqref="B1:B62 B64:B104857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workbookViewId="0">
      <selection activeCell="I32" sqref="I32"/>
    </sheetView>
  </sheetViews>
  <sheetFormatPr defaultColWidth="9" defaultRowHeight="16.5"/>
  <cols>
    <col min="1" max="1" width="5.25" style="5" customWidth="1"/>
    <col min="2" max="2" width="17.3833333333333" style="5" customWidth="1"/>
    <col min="3" max="3" width="22.375" style="6" customWidth="1"/>
    <col min="4" max="4" width="6.5" style="5" customWidth="1"/>
    <col min="5" max="5" width="6" style="5" customWidth="1"/>
    <col min="6" max="6" width="5.88333333333333" style="5" customWidth="1"/>
    <col min="7" max="7" width="4.63333333333333" style="5" customWidth="1"/>
    <col min="8" max="8" width="5.88333333333333" style="5" customWidth="1"/>
    <col min="9" max="9" width="10.8833333333333" style="5" customWidth="1"/>
    <col min="10" max="10" width="8" style="4" customWidth="1"/>
    <col min="11" max="11" width="5.13333333333333" style="4" customWidth="1"/>
    <col min="12" max="16384" width="9" style="4"/>
  </cols>
  <sheetData>
    <row r="1" s="20" customFormat="1" ht="20" customHeight="1" spans="1:10">
      <c r="A1" s="7" t="s">
        <v>42</v>
      </c>
      <c r="B1" s="7"/>
      <c r="C1" s="8"/>
      <c r="D1" s="7"/>
      <c r="E1" s="7"/>
      <c r="F1" s="7"/>
      <c r="G1" s="7"/>
      <c r="H1" s="7"/>
      <c r="I1" s="7"/>
      <c r="J1" s="7"/>
    </row>
    <row r="2" s="2" customFormat="1" ht="15" customHeight="1" spans="1:9">
      <c r="A2" s="9" t="s">
        <v>1</v>
      </c>
      <c r="B2" s="9" t="s">
        <v>2</v>
      </c>
      <c r="C2" s="9"/>
      <c r="D2" s="10"/>
      <c r="E2" s="10" t="s">
        <v>3</v>
      </c>
      <c r="F2" s="11">
        <v>45791</v>
      </c>
      <c r="G2" s="44"/>
      <c r="H2" s="11"/>
      <c r="I2" s="15"/>
    </row>
    <row r="3" s="2" customFormat="1" ht="15" customHeight="1" spans="1:10">
      <c r="A3" s="12" t="s">
        <v>4</v>
      </c>
      <c r="B3" s="12" t="s">
        <v>5</v>
      </c>
      <c r="C3" s="13" t="s">
        <v>6</v>
      </c>
      <c r="D3" s="12" t="s">
        <v>7</v>
      </c>
      <c r="E3" s="12" t="s">
        <v>8</v>
      </c>
      <c r="F3" s="12" t="s">
        <v>9</v>
      </c>
      <c r="G3" s="12" t="s">
        <v>10</v>
      </c>
      <c r="H3" s="12" t="s">
        <v>11</v>
      </c>
      <c r="I3" s="12" t="s">
        <v>12</v>
      </c>
      <c r="J3" s="12" t="s">
        <v>13</v>
      </c>
    </row>
    <row r="4" s="43" customFormat="1" ht="15" customHeight="1" spans="1:10">
      <c r="A4" s="41">
        <v>1</v>
      </c>
      <c r="B4" s="50" t="s">
        <v>81</v>
      </c>
      <c r="C4" s="41" t="s">
        <v>82</v>
      </c>
      <c r="D4" s="45">
        <v>4</v>
      </c>
      <c r="E4" s="45">
        <v>4</v>
      </c>
      <c r="F4" s="41">
        <v>16</v>
      </c>
      <c r="G4" s="12" t="s">
        <v>83</v>
      </c>
      <c r="H4" s="41">
        <v>108</v>
      </c>
      <c r="I4" s="41">
        <f t="shared" ref="I4:I6" si="0">H4*F4</f>
        <v>1728</v>
      </c>
      <c r="J4" s="41">
        <v>118</v>
      </c>
    </row>
    <row r="5" s="43" customFormat="1" ht="15" customHeight="1" spans="1:10">
      <c r="A5" s="41">
        <v>2</v>
      </c>
      <c r="B5" s="50" t="s">
        <v>84</v>
      </c>
      <c r="C5" s="41" t="s">
        <v>85</v>
      </c>
      <c r="D5" s="45">
        <v>4</v>
      </c>
      <c r="E5" s="45">
        <v>2</v>
      </c>
      <c r="F5" s="41">
        <v>8</v>
      </c>
      <c r="G5" s="12" t="s">
        <v>83</v>
      </c>
      <c r="H5" s="41">
        <v>169</v>
      </c>
      <c r="I5" s="41">
        <f t="shared" si="0"/>
        <v>1352</v>
      </c>
      <c r="J5" s="41">
        <v>180</v>
      </c>
    </row>
    <row r="6" s="43" customFormat="1" ht="15" customHeight="1" spans="1:10">
      <c r="A6" s="41">
        <v>3</v>
      </c>
      <c r="B6" s="50" t="s">
        <v>86</v>
      </c>
      <c r="C6" s="41" t="s">
        <v>87</v>
      </c>
      <c r="D6" s="45">
        <v>4</v>
      </c>
      <c r="E6" s="45">
        <v>4</v>
      </c>
      <c r="F6" s="41">
        <v>16</v>
      </c>
      <c r="G6" s="12" t="s">
        <v>83</v>
      </c>
      <c r="H6" s="41">
        <v>95</v>
      </c>
      <c r="I6" s="41">
        <f t="shared" si="0"/>
        <v>1520</v>
      </c>
      <c r="J6" s="41">
        <v>105</v>
      </c>
    </row>
    <row r="7" s="43" customFormat="1" ht="15" customHeight="1" spans="1:10">
      <c r="A7" s="41"/>
      <c r="B7" s="41"/>
      <c r="C7" s="41" t="s">
        <v>37</v>
      </c>
      <c r="D7" s="41"/>
      <c r="E7" s="41">
        <f>SUM(E4:E6)</f>
        <v>10</v>
      </c>
      <c r="F7" s="41"/>
      <c r="G7" s="12"/>
      <c r="H7" s="41"/>
      <c r="I7" s="41">
        <f>SUM(I4:I6)</f>
        <v>4600</v>
      </c>
      <c r="J7" s="41"/>
    </row>
    <row r="8" s="43" customFormat="1" ht="15" customHeight="1" spans="1:7">
      <c r="A8" s="43" t="s">
        <v>80</v>
      </c>
      <c r="B8" s="43"/>
      <c r="C8" s="43" t="s">
        <v>40</v>
      </c>
      <c r="D8" s="43"/>
      <c r="E8" s="43"/>
      <c r="F8" s="43" t="s">
        <v>41</v>
      </c>
      <c r="G8" s="15"/>
    </row>
    <row r="9" s="3" customFormat="1" ht="17.25" spans="1:9">
      <c r="A9" s="16"/>
      <c r="B9" s="16"/>
      <c r="C9" s="17"/>
      <c r="D9" s="16"/>
      <c r="E9" s="16"/>
      <c r="F9" s="16"/>
      <c r="G9" s="16"/>
      <c r="H9" s="16"/>
      <c r="I9" s="16"/>
    </row>
    <row r="10" s="4" customFormat="1" spans="1:9">
      <c r="A10" s="5"/>
      <c r="B10" s="5"/>
      <c r="C10" s="6"/>
      <c r="D10" s="5"/>
      <c r="E10" s="5"/>
      <c r="F10" s="5"/>
      <c r="G10" s="5"/>
      <c r="H10" s="5"/>
      <c r="I10" s="5"/>
    </row>
    <row r="11" s="4" customFormat="1" spans="1:9">
      <c r="A11" s="5"/>
      <c r="B11" s="5"/>
      <c r="C11" s="6"/>
      <c r="D11" s="5"/>
      <c r="E11" s="5"/>
      <c r="F11" s="5"/>
      <c r="G11" s="5"/>
      <c r="H11" s="5"/>
      <c r="I11" s="5"/>
    </row>
    <row r="12" s="4" customFormat="1" spans="1:9">
      <c r="A12" s="5"/>
      <c r="B12" s="5"/>
      <c r="C12" s="6"/>
      <c r="D12" s="5"/>
      <c r="E12" s="5"/>
      <c r="F12" s="5"/>
      <c r="G12" s="5"/>
      <c r="H12" s="5"/>
      <c r="I12" s="5"/>
    </row>
    <row r="13" s="4" customFormat="1" spans="1:9">
      <c r="A13" s="5"/>
      <c r="B13" s="5"/>
      <c r="C13" s="6"/>
      <c r="D13" s="5"/>
      <c r="E13" s="5"/>
      <c r="F13" s="5"/>
      <c r="G13" s="5"/>
      <c r="H13" s="5"/>
      <c r="I13" s="5"/>
    </row>
    <row r="14" s="4" customFormat="1" spans="1:9">
      <c r="A14" s="5"/>
      <c r="B14" s="5"/>
      <c r="C14" s="6"/>
      <c r="D14" s="5"/>
      <c r="E14" s="5"/>
      <c r="F14" s="5"/>
      <c r="G14" s="5"/>
      <c r="H14" s="5"/>
      <c r="I14" s="5"/>
    </row>
    <row r="15" s="4" customFormat="1" spans="1:9">
      <c r="A15" s="5"/>
      <c r="B15" s="5"/>
      <c r="C15" s="6"/>
      <c r="D15" s="5"/>
      <c r="E15" s="5"/>
      <c r="F15" s="5"/>
      <c r="G15" s="5"/>
      <c r="H15" s="5"/>
      <c r="I15" s="5"/>
    </row>
    <row r="16" s="4" customFormat="1" spans="1:9">
      <c r="A16" s="5"/>
      <c r="B16" s="5"/>
      <c r="C16" s="6"/>
      <c r="D16" s="5"/>
      <c r="E16" s="5"/>
      <c r="F16" s="5"/>
      <c r="G16" s="5"/>
      <c r="H16" s="5"/>
      <c r="I16" s="5"/>
    </row>
    <row r="17" s="4" customFormat="1" spans="1:9">
      <c r="A17" s="5"/>
      <c r="B17" s="5"/>
      <c r="C17" s="6"/>
      <c r="D17" s="5"/>
      <c r="E17" s="5"/>
      <c r="F17" s="5"/>
      <c r="G17" s="5"/>
      <c r="H17" s="5"/>
      <c r="I17" s="5"/>
    </row>
    <row r="18" s="4" customFormat="1" spans="1:9">
      <c r="A18" s="5"/>
      <c r="B18" s="5"/>
      <c r="C18" s="6"/>
      <c r="D18" s="5"/>
      <c r="E18" s="5"/>
      <c r="F18" s="5"/>
      <c r="G18" s="5"/>
      <c r="H18" s="5"/>
      <c r="I18" s="5"/>
    </row>
    <row r="19" s="4" customFormat="1" spans="1:9">
      <c r="A19" s="5"/>
      <c r="B19" s="5"/>
      <c r="C19" s="6"/>
      <c r="D19" s="5"/>
      <c r="E19" s="5"/>
      <c r="F19" s="5"/>
      <c r="G19" s="5"/>
      <c r="H19" s="5"/>
      <c r="I19" s="5"/>
    </row>
    <row r="20" s="4" customFormat="1" spans="1:9">
      <c r="A20" s="5"/>
      <c r="B20" s="5"/>
      <c r="C20" s="6"/>
      <c r="D20" s="5"/>
      <c r="E20" s="5"/>
      <c r="F20" s="5"/>
      <c r="G20" s="5"/>
      <c r="H20" s="5"/>
      <c r="I20" s="5"/>
    </row>
    <row r="21" s="4" customFormat="1" spans="1:9">
      <c r="A21" s="5"/>
      <c r="B21" s="5"/>
      <c r="C21" s="6"/>
      <c r="D21" s="5"/>
      <c r="E21" s="5"/>
      <c r="F21" s="5"/>
      <c r="G21" s="5"/>
      <c r="H21" s="5"/>
      <c r="I21" s="5"/>
    </row>
    <row r="22" s="4" customFormat="1" spans="1:9">
      <c r="A22" s="5"/>
      <c r="B22" s="5"/>
      <c r="C22" s="6"/>
      <c r="D22" s="5"/>
      <c r="E22" s="5"/>
      <c r="F22" s="5"/>
      <c r="G22" s="5"/>
      <c r="H22" s="5"/>
      <c r="I22" s="5"/>
    </row>
    <row r="23" s="4" customFormat="1" spans="1:9">
      <c r="A23" s="5"/>
      <c r="B23" s="5"/>
      <c r="C23" s="6"/>
      <c r="D23" s="5"/>
      <c r="E23" s="5"/>
      <c r="F23" s="5"/>
      <c r="G23" s="5"/>
      <c r="H23" s="5"/>
      <c r="I23" s="5"/>
    </row>
    <row r="24" s="4" customFormat="1" spans="1:9">
      <c r="A24" s="5"/>
      <c r="B24" s="5"/>
      <c r="C24" s="6"/>
      <c r="D24" s="5"/>
      <c r="E24" s="5"/>
      <c r="F24" s="5"/>
      <c r="G24" s="5"/>
      <c r="H24" s="5"/>
      <c r="I24" s="5"/>
    </row>
    <row r="25" s="4" customFormat="1" spans="1:9">
      <c r="A25" s="5"/>
      <c r="B25" s="5"/>
      <c r="C25" s="6"/>
      <c r="D25" s="5"/>
      <c r="E25" s="5"/>
      <c r="F25" s="5"/>
      <c r="G25" s="5"/>
      <c r="H25" s="5"/>
      <c r="I25" s="5"/>
    </row>
    <row r="26" s="4" customFormat="1" spans="1:9">
      <c r="A26" s="5"/>
      <c r="B26" s="5"/>
      <c r="C26" s="6"/>
      <c r="D26" s="5"/>
      <c r="E26" s="5"/>
      <c r="F26" s="5"/>
      <c r="G26" s="5"/>
      <c r="H26" s="5"/>
      <c r="I26" s="5"/>
    </row>
    <row r="27" s="4" customFormat="1" spans="1:9">
      <c r="A27" s="5"/>
      <c r="B27" s="5"/>
      <c r="C27" s="6"/>
      <c r="D27" s="5"/>
      <c r="E27" s="5"/>
      <c r="F27" s="5"/>
      <c r="G27" s="5"/>
      <c r="H27" s="5"/>
      <c r="I27" s="5"/>
    </row>
    <row r="28" s="4" customFormat="1" spans="1:9">
      <c r="A28" s="5"/>
      <c r="B28" s="5"/>
      <c r="C28" s="6"/>
      <c r="D28" s="5"/>
      <c r="E28" s="5"/>
      <c r="F28" s="5"/>
      <c r="G28" s="5"/>
      <c r="H28" s="5"/>
      <c r="I28" s="5"/>
    </row>
    <row r="29" s="4" customFormat="1" spans="1:9">
      <c r="A29" s="5"/>
      <c r="B29" s="5"/>
      <c r="C29" s="6"/>
      <c r="D29" s="5"/>
      <c r="E29" s="5"/>
      <c r="F29" s="5"/>
      <c r="G29" s="5"/>
      <c r="H29" s="5"/>
      <c r="I29" s="5"/>
    </row>
    <row r="30" s="4" customFormat="1" spans="1:9">
      <c r="A30" s="5"/>
      <c r="B30" s="5"/>
      <c r="C30" s="6"/>
      <c r="D30" s="5"/>
      <c r="E30" s="5"/>
      <c r="F30" s="5"/>
      <c r="G30" s="5"/>
      <c r="H30" s="5"/>
      <c r="I30" s="5"/>
    </row>
    <row r="31" s="4" customFormat="1" spans="1:9">
      <c r="A31" s="5"/>
      <c r="B31" s="5"/>
      <c r="C31" s="6"/>
      <c r="D31" s="5"/>
      <c r="E31" s="5"/>
      <c r="F31" s="5"/>
      <c r="G31" s="5"/>
      <c r="H31" s="5"/>
      <c r="I31" s="5"/>
    </row>
    <row r="32" s="4" customFormat="1" spans="1:9">
      <c r="A32" s="5"/>
      <c r="B32" s="5"/>
      <c r="C32" s="6"/>
      <c r="D32" s="5"/>
      <c r="E32" s="5"/>
      <c r="F32" s="5"/>
      <c r="G32" s="5"/>
      <c r="H32" s="5"/>
      <c r="I32" s="5"/>
    </row>
    <row r="33" s="4" customFormat="1" spans="1:9">
      <c r="A33" s="5"/>
      <c r="B33" s="5"/>
      <c r="C33" s="6"/>
      <c r="D33" s="5"/>
      <c r="E33" s="5"/>
      <c r="F33" s="5"/>
      <c r="G33" s="5"/>
      <c r="H33" s="5"/>
      <c r="I33" s="5"/>
    </row>
  </sheetData>
  <mergeCells count="2">
    <mergeCell ref="A1:J1"/>
    <mergeCell ref="F2:H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J39" sqref="J39"/>
    </sheetView>
  </sheetViews>
  <sheetFormatPr defaultColWidth="9" defaultRowHeight="13.5"/>
  <cols>
    <col min="1" max="1" width="6.38333333333333" style="30" customWidth="1"/>
    <col min="2" max="2" width="18.25" style="31" customWidth="1"/>
    <col min="3" max="3" width="27.3833333333333" style="30" customWidth="1"/>
    <col min="4" max="4" width="4.75" style="30" customWidth="1"/>
    <col min="5" max="5" width="4.5" style="30" customWidth="1"/>
    <col min="6" max="6" width="4.88333333333333" style="30" customWidth="1"/>
    <col min="7" max="7" width="5.13333333333333" style="30" customWidth="1"/>
    <col min="8" max="8" width="6" style="30" customWidth="1"/>
    <col min="9" max="9" width="8.5" style="30" customWidth="1"/>
    <col min="10" max="10" width="8.88333333333333" style="31" customWidth="1"/>
    <col min="11" max="11" width="5.13333333333333" style="31" customWidth="1"/>
    <col min="12" max="16384" width="9" style="31"/>
  </cols>
  <sheetData>
    <row r="1" s="27" customFormat="1" ht="19" customHeight="1" spans="1:10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</row>
    <row r="2" s="28" customFormat="1" ht="13" customHeight="1" spans="1:10">
      <c r="A2" s="9" t="s">
        <v>1</v>
      </c>
      <c r="B2" s="9" t="s">
        <v>2</v>
      </c>
      <c r="C2" s="15"/>
      <c r="D2" s="10"/>
      <c r="E2" s="10" t="s">
        <v>3</v>
      </c>
      <c r="F2" s="11">
        <v>45797</v>
      </c>
      <c r="G2" s="11"/>
      <c r="H2" s="11"/>
      <c r="I2" s="15"/>
      <c r="J2" s="2"/>
    </row>
    <row r="3" s="28" customFormat="1" ht="13" customHeight="1" spans="1:10">
      <c r="A3" s="12" t="s">
        <v>4</v>
      </c>
      <c r="B3" s="12" t="s">
        <v>5</v>
      </c>
      <c r="C3" s="12" t="s">
        <v>6</v>
      </c>
      <c r="D3" s="12" t="s">
        <v>7</v>
      </c>
      <c r="E3" s="12" t="s">
        <v>8</v>
      </c>
      <c r="F3" s="12" t="s">
        <v>9</v>
      </c>
      <c r="G3" s="12" t="s">
        <v>10</v>
      </c>
      <c r="H3" s="12" t="s">
        <v>11</v>
      </c>
      <c r="I3" s="12" t="s">
        <v>12</v>
      </c>
      <c r="J3" s="12" t="s">
        <v>13</v>
      </c>
    </row>
    <row r="4" s="28" customFormat="1" ht="13" customHeight="1" spans="1:10">
      <c r="A4" s="12">
        <v>1</v>
      </c>
      <c r="B4" s="47" t="s">
        <v>30</v>
      </c>
      <c r="C4" s="34" t="s">
        <v>31</v>
      </c>
      <c r="D4" s="35"/>
      <c r="E4" s="12"/>
      <c r="F4" s="12">
        <v>14</v>
      </c>
      <c r="G4" s="35" t="s">
        <v>16</v>
      </c>
      <c r="H4" s="35">
        <v>8.9</v>
      </c>
      <c r="I4" s="12">
        <v>124.6</v>
      </c>
      <c r="J4" s="12">
        <v>9.9</v>
      </c>
    </row>
    <row r="5" s="28" customFormat="1" ht="13" customHeight="1" spans="1:10">
      <c r="A5" s="12">
        <v>2</v>
      </c>
      <c r="B5" s="51" t="s">
        <v>20</v>
      </c>
      <c r="C5" s="37" t="s">
        <v>21</v>
      </c>
      <c r="D5" s="35"/>
      <c r="E5" s="12"/>
      <c r="F5" s="12">
        <v>15</v>
      </c>
      <c r="G5" s="38" t="s">
        <v>16</v>
      </c>
      <c r="H5" s="35">
        <v>11.8</v>
      </c>
      <c r="I5" s="12">
        <v>177</v>
      </c>
      <c r="J5" s="12">
        <v>12.9</v>
      </c>
    </row>
    <row r="6" s="28" customFormat="1" ht="13" customHeight="1" spans="1:10">
      <c r="A6" s="12">
        <v>3</v>
      </c>
      <c r="B6" s="48" t="s">
        <v>34</v>
      </c>
      <c r="C6" s="37" t="s">
        <v>35</v>
      </c>
      <c r="D6" s="35"/>
      <c r="E6" s="12"/>
      <c r="F6" s="12">
        <v>4</v>
      </c>
      <c r="G6" s="40" t="s">
        <v>36</v>
      </c>
      <c r="H6" s="35">
        <v>8</v>
      </c>
      <c r="I6" s="12">
        <v>32</v>
      </c>
      <c r="J6" s="12">
        <v>9</v>
      </c>
    </row>
    <row r="7" s="28" customFormat="1" ht="13" customHeight="1" spans="1:10">
      <c r="A7" s="12">
        <v>4</v>
      </c>
      <c r="B7" s="48" t="s">
        <v>88</v>
      </c>
      <c r="C7" s="37" t="s">
        <v>89</v>
      </c>
      <c r="D7" s="35"/>
      <c r="E7" s="12"/>
      <c r="F7" s="12">
        <v>10</v>
      </c>
      <c r="G7" s="35" t="s">
        <v>36</v>
      </c>
      <c r="H7" s="35">
        <v>7.5</v>
      </c>
      <c r="I7" s="12">
        <v>75</v>
      </c>
      <c r="J7" s="12">
        <v>8.2</v>
      </c>
    </row>
    <row r="8" s="28" customFormat="1" ht="13" customHeight="1" spans="1:10">
      <c r="A8" s="12"/>
      <c r="B8" s="41"/>
      <c r="C8" s="12" t="s">
        <v>37</v>
      </c>
      <c r="D8" s="12"/>
      <c r="E8" s="12"/>
      <c r="F8" s="12"/>
      <c r="G8" s="12"/>
      <c r="H8" s="35"/>
      <c r="I8" s="12">
        <f>SUM(I4:I7)</f>
        <v>408.6</v>
      </c>
      <c r="J8" s="12"/>
    </row>
    <row r="9" s="28" customFormat="1" ht="13" customHeight="1" spans="1:9">
      <c r="A9" s="9" t="s">
        <v>38</v>
      </c>
      <c r="B9" s="2" t="s">
        <v>39</v>
      </c>
      <c r="C9" s="15" t="s">
        <v>40</v>
      </c>
      <c r="D9" s="15"/>
      <c r="E9" s="15"/>
      <c r="F9" s="15"/>
      <c r="G9" s="15"/>
      <c r="H9" s="42" t="s">
        <v>41</v>
      </c>
      <c r="I9" s="15"/>
    </row>
    <row r="10" s="29" customFormat="1" ht="17.25" spans="1:14">
      <c r="A10" s="16"/>
      <c r="B10" s="3"/>
      <c r="C10" s="16"/>
      <c r="D10" s="16"/>
      <c r="E10" s="16"/>
      <c r="F10" s="16"/>
      <c r="G10" s="16"/>
      <c r="H10" s="16"/>
      <c r="I10" s="16"/>
      <c r="J10" s="3"/>
      <c r="N10" s="31"/>
    </row>
  </sheetData>
  <mergeCells count="2">
    <mergeCell ref="A1:J1"/>
    <mergeCell ref="F2:H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1"/>
  <sheetViews>
    <sheetView workbookViewId="0">
      <selection activeCell="M28" sqref="M28"/>
    </sheetView>
  </sheetViews>
  <sheetFormatPr defaultColWidth="9" defaultRowHeight="16.5"/>
  <cols>
    <col min="1" max="1" width="5.25" style="5" customWidth="1"/>
    <col min="2" max="2" width="15.75" style="5" customWidth="1"/>
    <col min="3" max="3" width="35.375" style="6" customWidth="1"/>
    <col min="4" max="4" width="8" style="5" customWidth="1"/>
    <col min="5" max="5" width="6" style="5" customWidth="1"/>
    <col min="6" max="6" width="5.875" style="5" customWidth="1"/>
    <col min="7" max="7" width="4.625" style="5" customWidth="1"/>
    <col min="8" max="8" width="5.875" style="5" customWidth="1"/>
    <col min="9" max="9" width="11.4" style="5" customWidth="1"/>
    <col min="10" max="10" width="8" style="4" customWidth="1"/>
    <col min="11" max="11" width="5.125" style="4" customWidth="1"/>
    <col min="12" max="16384" width="9" style="4"/>
  </cols>
  <sheetData>
    <row r="1" s="20" customFormat="1" ht="22.5" spans="1:10">
      <c r="A1" s="21" t="s">
        <v>42</v>
      </c>
      <c r="B1" s="21"/>
      <c r="C1" s="22"/>
      <c r="D1" s="21"/>
      <c r="E1" s="21"/>
      <c r="F1" s="21"/>
      <c r="G1" s="21"/>
      <c r="H1" s="21"/>
      <c r="I1" s="21"/>
      <c r="J1" s="21"/>
    </row>
    <row r="2" s="2" customFormat="1" ht="15" customHeight="1" spans="1:9">
      <c r="A2" s="9" t="s">
        <v>1</v>
      </c>
      <c r="B2" s="9" t="s">
        <v>2</v>
      </c>
      <c r="C2" s="9"/>
      <c r="D2" s="10"/>
      <c r="E2" s="10" t="s">
        <v>3</v>
      </c>
      <c r="F2" s="11">
        <v>45803</v>
      </c>
      <c r="G2" s="11"/>
      <c r="H2" s="11"/>
      <c r="I2" s="15"/>
    </row>
    <row r="3" s="2" customFormat="1" ht="16" customHeight="1" spans="1:10">
      <c r="A3" s="12" t="s">
        <v>4</v>
      </c>
      <c r="B3" s="12" t="s">
        <v>5</v>
      </c>
      <c r="C3" s="13" t="s">
        <v>6</v>
      </c>
      <c r="D3" s="12" t="s">
        <v>7</v>
      </c>
      <c r="E3" s="12" t="s">
        <v>8</v>
      </c>
      <c r="F3" s="12" t="s">
        <v>9</v>
      </c>
      <c r="G3" s="12" t="s">
        <v>10</v>
      </c>
      <c r="H3" s="12" t="s">
        <v>11</v>
      </c>
      <c r="I3" s="12" t="s">
        <v>12</v>
      </c>
      <c r="J3" s="12" t="s">
        <v>13</v>
      </c>
    </row>
    <row r="4" s="2" customFormat="1" ht="15" customHeight="1" spans="1:10">
      <c r="A4" s="12">
        <v>1</v>
      </c>
      <c r="B4" s="12" t="s">
        <v>90</v>
      </c>
      <c r="C4" s="13" t="s">
        <v>91</v>
      </c>
      <c r="D4" s="14">
        <v>40</v>
      </c>
      <c r="E4" s="12">
        <v>0.5</v>
      </c>
      <c r="F4" s="12">
        <v>20</v>
      </c>
      <c r="G4" s="12" t="s">
        <v>92</v>
      </c>
      <c r="H4" s="12">
        <v>3.6</v>
      </c>
      <c r="I4" s="12">
        <f t="shared" ref="I4:I67" si="0">H4*F4</f>
        <v>72</v>
      </c>
      <c r="J4" s="12">
        <v>4</v>
      </c>
    </row>
    <row r="5" s="2" customFormat="1" ht="15" customHeight="1" spans="1:10">
      <c r="A5" s="12">
        <v>2</v>
      </c>
      <c r="B5" s="12" t="s">
        <v>93</v>
      </c>
      <c r="C5" s="13" t="s">
        <v>94</v>
      </c>
      <c r="D5" s="14">
        <v>40</v>
      </c>
      <c r="E5" s="12">
        <v>0.5</v>
      </c>
      <c r="F5" s="12">
        <v>20</v>
      </c>
      <c r="G5" s="12" t="s">
        <v>92</v>
      </c>
      <c r="H5" s="12">
        <v>3.6</v>
      </c>
      <c r="I5" s="12">
        <f t="shared" si="0"/>
        <v>72</v>
      </c>
      <c r="J5" s="18">
        <v>4</v>
      </c>
    </row>
    <row r="6" s="2" customFormat="1" ht="15" customHeight="1" spans="1:10">
      <c r="A6" s="12">
        <v>3</v>
      </c>
      <c r="B6" s="12" t="s">
        <v>95</v>
      </c>
      <c r="C6" s="13" t="s">
        <v>96</v>
      </c>
      <c r="D6" s="14">
        <v>40</v>
      </c>
      <c r="E6" s="12">
        <v>0.45</v>
      </c>
      <c r="F6" s="12">
        <v>18</v>
      </c>
      <c r="G6" s="12" t="s">
        <v>92</v>
      </c>
      <c r="H6" s="12">
        <v>3.6</v>
      </c>
      <c r="I6" s="12">
        <f t="shared" si="0"/>
        <v>64.8</v>
      </c>
      <c r="J6" s="18">
        <v>4</v>
      </c>
    </row>
    <row r="7" s="2" customFormat="1" ht="15" customHeight="1" spans="1:10">
      <c r="A7" s="12">
        <v>4</v>
      </c>
      <c r="B7" s="12" t="s">
        <v>97</v>
      </c>
      <c r="C7" s="13" t="s">
        <v>98</v>
      </c>
      <c r="D7" s="14">
        <v>24</v>
      </c>
      <c r="E7" s="12">
        <v>1</v>
      </c>
      <c r="F7" s="12">
        <v>24</v>
      </c>
      <c r="G7" s="12" t="s">
        <v>99</v>
      </c>
      <c r="H7" s="12">
        <v>4</v>
      </c>
      <c r="I7" s="12">
        <f t="shared" si="0"/>
        <v>96</v>
      </c>
      <c r="J7" s="12">
        <v>4.5</v>
      </c>
    </row>
    <row r="8" s="2" customFormat="1" ht="15" customHeight="1" spans="1:10">
      <c r="A8" s="12">
        <v>5</v>
      </c>
      <c r="B8" s="12" t="s">
        <v>100</v>
      </c>
      <c r="C8" s="13" t="s">
        <v>101</v>
      </c>
      <c r="D8" s="14">
        <v>24</v>
      </c>
      <c r="E8" s="12">
        <v>1</v>
      </c>
      <c r="F8" s="12">
        <v>24</v>
      </c>
      <c r="G8" s="12" t="s">
        <v>99</v>
      </c>
      <c r="H8" s="12">
        <v>4</v>
      </c>
      <c r="I8" s="12">
        <f t="shared" si="0"/>
        <v>96</v>
      </c>
      <c r="J8" s="12">
        <v>4.5</v>
      </c>
    </row>
    <row r="9" s="2" customFormat="1" ht="15" customHeight="1" spans="1:10">
      <c r="A9" s="12">
        <v>6</v>
      </c>
      <c r="B9" s="12" t="s">
        <v>102</v>
      </c>
      <c r="C9" s="13" t="s">
        <v>103</v>
      </c>
      <c r="D9" s="14">
        <v>30</v>
      </c>
      <c r="E9" s="12">
        <v>1</v>
      </c>
      <c r="F9" s="12">
        <v>30</v>
      </c>
      <c r="G9" s="12" t="s">
        <v>99</v>
      </c>
      <c r="H9" s="12">
        <v>8</v>
      </c>
      <c r="I9" s="12">
        <f t="shared" si="0"/>
        <v>240</v>
      </c>
      <c r="J9" s="12">
        <v>9</v>
      </c>
    </row>
    <row r="10" s="2" customFormat="1" ht="15" customHeight="1" spans="1:10">
      <c r="A10" s="12">
        <v>7</v>
      </c>
      <c r="B10" s="12" t="s">
        <v>104</v>
      </c>
      <c r="C10" s="13" t="s">
        <v>105</v>
      </c>
      <c r="D10" s="14">
        <v>30</v>
      </c>
      <c r="E10" s="12">
        <v>1</v>
      </c>
      <c r="F10" s="12">
        <v>30</v>
      </c>
      <c r="G10" s="12" t="s">
        <v>99</v>
      </c>
      <c r="H10" s="12">
        <v>8</v>
      </c>
      <c r="I10" s="12">
        <f t="shared" si="0"/>
        <v>240</v>
      </c>
      <c r="J10" s="12">
        <v>9</v>
      </c>
    </row>
    <row r="11" s="2" customFormat="1" ht="15" customHeight="1" spans="1:10">
      <c r="A11" s="12">
        <v>8</v>
      </c>
      <c r="B11" s="12" t="s">
        <v>106</v>
      </c>
      <c r="C11" s="13" t="s">
        <v>107</v>
      </c>
      <c r="D11" s="14">
        <v>20</v>
      </c>
      <c r="E11" s="12">
        <v>1</v>
      </c>
      <c r="F11" s="12">
        <v>20</v>
      </c>
      <c r="G11" s="12" t="s">
        <v>83</v>
      </c>
      <c r="H11" s="12">
        <v>8.6</v>
      </c>
      <c r="I11" s="12">
        <f t="shared" si="0"/>
        <v>172</v>
      </c>
      <c r="J11" s="12">
        <v>9.7</v>
      </c>
    </row>
    <row r="12" s="2" customFormat="1" ht="15" customHeight="1" spans="1:10">
      <c r="A12" s="12">
        <v>9</v>
      </c>
      <c r="B12" s="12" t="s">
        <v>108</v>
      </c>
      <c r="C12" s="13" t="s">
        <v>109</v>
      </c>
      <c r="D12" s="14">
        <v>30</v>
      </c>
      <c r="E12" s="12">
        <v>0.6666</v>
      </c>
      <c r="F12" s="12">
        <v>20</v>
      </c>
      <c r="G12" s="12" t="s">
        <v>92</v>
      </c>
      <c r="H12" s="12">
        <v>5</v>
      </c>
      <c r="I12" s="12">
        <f t="shared" si="0"/>
        <v>100</v>
      </c>
      <c r="J12" s="12">
        <v>5.6</v>
      </c>
    </row>
    <row r="13" s="2" customFormat="1" ht="15" customHeight="1" spans="1:10">
      <c r="A13" s="12">
        <v>10</v>
      </c>
      <c r="B13" s="12" t="s">
        <v>110</v>
      </c>
      <c r="C13" s="13" t="s">
        <v>111</v>
      </c>
      <c r="D13" s="14">
        <v>30</v>
      </c>
      <c r="E13" s="12">
        <v>0.6666</v>
      </c>
      <c r="F13" s="12">
        <v>20</v>
      </c>
      <c r="G13" s="12" t="s">
        <v>99</v>
      </c>
      <c r="H13" s="12">
        <v>5</v>
      </c>
      <c r="I13" s="12">
        <f t="shared" si="0"/>
        <v>100</v>
      </c>
      <c r="J13" s="12">
        <v>5.6</v>
      </c>
    </row>
    <row r="14" s="2" customFormat="1" ht="15" customHeight="1" spans="1:10">
      <c r="A14" s="12">
        <v>11</v>
      </c>
      <c r="B14" s="12" t="s">
        <v>112</v>
      </c>
      <c r="C14" s="13" t="s">
        <v>113</v>
      </c>
      <c r="D14" s="14">
        <v>72</v>
      </c>
      <c r="E14" s="12">
        <v>0.1388</v>
      </c>
      <c r="F14" s="12">
        <v>10</v>
      </c>
      <c r="G14" s="12" t="s">
        <v>114</v>
      </c>
      <c r="H14" s="12">
        <v>1.8</v>
      </c>
      <c r="I14" s="12">
        <f t="shared" si="0"/>
        <v>18</v>
      </c>
      <c r="J14" s="12">
        <v>2</v>
      </c>
    </row>
    <row r="15" s="2" customFormat="1" ht="15" customHeight="1" spans="1:10">
      <c r="A15" s="12">
        <v>12</v>
      </c>
      <c r="B15" s="12" t="s">
        <v>115</v>
      </c>
      <c r="C15" s="13" t="s">
        <v>116</v>
      </c>
      <c r="D15" s="14">
        <v>72</v>
      </c>
      <c r="E15" s="12">
        <v>0.1388</v>
      </c>
      <c r="F15" s="12">
        <v>10</v>
      </c>
      <c r="G15" s="12" t="s">
        <v>114</v>
      </c>
      <c r="H15" s="12">
        <v>1.8</v>
      </c>
      <c r="I15" s="12">
        <f t="shared" si="0"/>
        <v>18</v>
      </c>
      <c r="J15" s="12">
        <v>2</v>
      </c>
    </row>
    <row r="16" s="2" customFormat="1" ht="15" customHeight="1" spans="1:10">
      <c r="A16" s="12">
        <v>13</v>
      </c>
      <c r="B16" s="12" t="s">
        <v>117</v>
      </c>
      <c r="C16" s="13" t="s">
        <v>118</v>
      </c>
      <c r="D16" s="14">
        <v>72</v>
      </c>
      <c r="E16" s="12">
        <v>0.1388</v>
      </c>
      <c r="F16" s="12">
        <v>10</v>
      </c>
      <c r="G16" s="12" t="s">
        <v>114</v>
      </c>
      <c r="H16" s="12">
        <v>1.8</v>
      </c>
      <c r="I16" s="12">
        <f t="shared" si="0"/>
        <v>18</v>
      </c>
      <c r="J16" s="12">
        <v>2</v>
      </c>
    </row>
    <row r="17" s="2" customFormat="1" ht="15" customHeight="1" spans="1:10">
      <c r="A17" s="12">
        <v>14</v>
      </c>
      <c r="B17" s="12" t="s">
        <v>119</v>
      </c>
      <c r="C17" s="13" t="s">
        <v>120</v>
      </c>
      <c r="D17" s="14">
        <v>72</v>
      </c>
      <c r="E17" s="12">
        <v>0.1388</v>
      </c>
      <c r="F17" s="12">
        <v>10</v>
      </c>
      <c r="G17" s="12" t="s">
        <v>114</v>
      </c>
      <c r="H17" s="12">
        <v>1.8</v>
      </c>
      <c r="I17" s="12">
        <f t="shared" si="0"/>
        <v>18</v>
      </c>
      <c r="J17" s="12">
        <v>2</v>
      </c>
    </row>
    <row r="18" s="2" customFormat="1" ht="15" customHeight="1" spans="1:10">
      <c r="A18" s="12">
        <v>15</v>
      </c>
      <c r="B18" s="12" t="s">
        <v>121</v>
      </c>
      <c r="C18" s="13" t="s">
        <v>122</v>
      </c>
      <c r="D18" s="14">
        <v>30</v>
      </c>
      <c r="E18" s="12">
        <v>0.6</v>
      </c>
      <c r="F18" s="12">
        <v>18</v>
      </c>
      <c r="G18" s="12" t="s">
        <v>99</v>
      </c>
      <c r="H18" s="12">
        <v>5.2</v>
      </c>
      <c r="I18" s="12">
        <f t="shared" si="0"/>
        <v>93.6</v>
      </c>
      <c r="J18" s="12">
        <v>5.8</v>
      </c>
    </row>
    <row r="19" s="2" customFormat="1" ht="15" customHeight="1" spans="1:10">
      <c r="A19" s="12">
        <v>16</v>
      </c>
      <c r="B19" s="12" t="s">
        <v>123</v>
      </c>
      <c r="C19" s="13" t="s">
        <v>124</v>
      </c>
      <c r="D19" s="14">
        <v>30</v>
      </c>
      <c r="E19" s="12">
        <v>0.3666</v>
      </c>
      <c r="F19" s="12">
        <v>11</v>
      </c>
      <c r="G19" s="12" t="s">
        <v>99</v>
      </c>
      <c r="H19" s="12">
        <v>5.2</v>
      </c>
      <c r="I19" s="12">
        <f t="shared" si="0"/>
        <v>57.2</v>
      </c>
      <c r="J19" s="12">
        <v>5.8</v>
      </c>
    </row>
    <row r="20" s="2" customFormat="1" ht="15" customHeight="1" spans="1:10">
      <c r="A20" s="12">
        <v>17</v>
      </c>
      <c r="B20" s="12" t="s">
        <v>125</v>
      </c>
      <c r="C20" s="13" t="s">
        <v>126</v>
      </c>
      <c r="D20" s="14">
        <v>28</v>
      </c>
      <c r="E20" s="12">
        <v>0.2142</v>
      </c>
      <c r="F20" s="12">
        <v>6</v>
      </c>
      <c r="G20" s="12" t="s">
        <v>36</v>
      </c>
      <c r="H20" s="12">
        <v>14.3</v>
      </c>
      <c r="I20" s="12">
        <f t="shared" si="0"/>
        <v>85.8</v>
      </c>
      <c r="J20" s="12">
        <v>15.9</v>
      </c>
    </row>
    <row r="21" s="2" customFormat="1" ht="15" customHeight="1" spans="1:10">
      <c r="A21" s="12">
        <v>18</v>
      </c>
      <c r="B21" s="12" t="s">
        <v>127</v>
      </c>
      <c r="C21" s="13" t="s">
        <v>128</v>
      </c>
      <c r="D21" s="14">
        <v>28</v>
      </c>
      <c r="E21" s="12">
        <v>0.2142</v>
      </c>
      <c r="F21" s="12">
        <v>6</v>
      </c>
      <c r="G21" s="12" t="s">
        <v>36</v>
      </c>
      <c r="H21" s="12">
        <v>14.3</v>
      </c>
      <c r="I21" s="12">
        <f t="shared" si="0"/>
        <v>85.8</v>
      </c>
      <c r="J21" s="12">
        <v>15.9</v>
      </c>
    </row>
    <row r="22" s="2" customFormat="1" ht="15" customHeight="1" spans="1:10">
      <c r="A22" s="12">
        <v>19</v>
      </c>
      <c r="B22" s="12" t="s">
        <v>129</v>
      </c>
      <c r="C22" s="13" t="s">
        <v>130</v>
      </c>
      <c r="D22" s="14">
        <v>28</v>
      </c>
      <c r="E22" s="12">
        <v>0.2142</v>
      </c>
      <c r="F22" s="12">
        <v>6</v>
      </c>
      <c r="G22" s="12" t="s">
        <v>36</v>
      </c>
      <c r="H22" s="12">
        <v>14.3</v>
      </c>
      <c r="I22" s="12">
        <f t="shared" si="0"/>
        <v>85.8</v>
      </c>
      <c r="J22" s="12">
        <v>15.9</v>
      </c>
    </row>
    <row r="23" s="2" customFormat="1" ht="15" customHeight="1" spans="1:10">
      <c r="A23" s="12">
        <v>20</v>
      </c>
      <c r="B23" s="12" t="s">
        <v>131</v>
      </c>
      <c r="C23" s="13" t="s">
        <v>132</v>
      </c>
      <c r="D23" s="14">
        <v>30</v>
      </c>
      <c r="E23" s="12">
        <v>0.6666</v>
      </c>
      <c r="F23" s="12">
        <v>20</v>
      </c>
      <c r="G23" s="12" t="s">
        <v>99</v>
      </c>
      <c r="H23" s="12">
        <v>9</v>
      </c>
      <c r="I23" s="12">
        <f t="shared" si="0"/>
        <v>180</v>
      </c>
      <c r="J23" s="12">
        <v>9.9</v>
      </c>
    </row>
    <row r="24" s="2" customFormat="1" ht="15" customHeight="1" spans="1:10">
      <c r="A24" s="12">
        <v>21</v>
      </c>
      <c r="B24" s="12" t="s">
        <v>133</v>
      </c>
      <c r="C24" s="13" t="s">
        <v>134</v>
      </c>
      <c r="D24" s="14">
        <v>30</v>
      </c>
      <c r="E24" s="12">
        <v>0.6666</v>
      </c>
      <c r="F24" s="12">
        <v>20</v>
      </c>
      <c r="G24" s="12" t="s">
        <v>99</v>
      </c>
      <c r="H24" s="12">
        <v>9</v>
      </c>
      <c r="I24" s="12">
        <f t="shared" si="0"/>
        <v>180</v>
      </c>
      <c r="J24" s="12">
        <v>9.9</v>
      </c>
    </row>
    <row r="25" s="2" customFormat="1" ht="15" customHeight="1" spans="1:10">
      <c r="A25" s="12">
        <v>22</v>
      </c>
      <c r="B25" s="12" t="s">
        <v>135</v>
      </c>
      <c r="C25" s="13" t="s">
        <v>136</v>
      </c>
      <c r="D25" s="14">
        <v>30</v>
      </c>
      <c r="E25" s="12">
        <v>0.6666</v>
      </c>
      <c r="F25" s="12">
        <v>20</v>
      </c>
      <c r="G25" s="12" t="s">
        <v>99</v>
      </c>
      <c r="H25" s="12">
        <v>17</v>
      </c>
      <c r="I25" s="12">
        <f t="shared" si="0"/>
        <v>340</v>
      </c>
      <c r="J25" s="12">
        <v>18.9</v>
      </c>
    </row>
    <row r="26" s="2" customFormat="1" ht="15" customHeight="1" spans="1:10">
      <c r="A26" s="12">
        <v>23</v>
      </c>
      <c r="B26" s="12" t="s">
        <v>137</v>
      </c>
      <c r="C26" s="13" t="s">
        <v>138</v>
      </c>
      <c r="D26" s="14">
        <v>20</v>
      </c>
      <c r="E26" s="12">
        <v>1</v>
      </c>
      <c r="F26" s="12">
        <v>20</v>
      </c>
      <c r="G26" s="12" t="s">
        <v>99</v>
      </c>
      <c r="H26" s="12">
        <v>17.5</v>
      </c>
      <c r="I26" s="12">
        <f t="shared" si="0"/>
        <v>350</v>
      </c>
      <c r="J26" s="12">
        <v>19.8</v>
      </c>
    </row>
    <row r="27" s="2" customFormat="1" ht="15" customHeight="1" spans="1:10">
      <c r="A27" s="12">
        <v>24</v>
      </c>
      <c r="B27" s="12" t="s">
        <v>139</v>
      </c>
      <c r="C27" s="13" t="s">
        <v>140</v>
      </c>
      <c r="D27" s="14">
        <v>20</v>
      </c>
      <c r="E27" s="12">
        <v>1</v>
      </c>
      <c r="F27" s="12">
        <v>20</v>
      </c>
      <c r="G27" s="12" t="s">
        <v>99</v>
      </c>
      <c r="H27" s="12">
        <v>7</v>
      </c>
      <c r="I27" s="12">
        <f t="shared" si="0"/>
        <v>140</v>
      </c>
      <c r="J27" s="12">
        <v>7.8</v>
      </c>
    </row>
    <row r="28" s="2" customFormat="1" ht="15" customHeight="1" spans="1:10">
      <c r="A28" s="12">
        <v>25</v>
      </c>
      <c r="B28" s="12" t="s">
        <v>141</v>
      </c>
      <c r="C28" s="13" t="s">
        <v>142</v>
      </c>
      <c r="D28" s="14">
        <v>50</v>
      </c>
      <c r="E28" s="12">
        <v>0.4</v>
      </c>
      <c r="F28" s="12">
        <v>20</v>
      </c>
      <c r="G28" s="12" t="s">
        <v>92</v>
      </c>
      <c r="H28" s="12">
        <v>1.17</v>
      </c>
      <c r="I28" s="12">
        <f t="shared" si="0"/>
        <v>23.4</v>
      </c>
      <c r="J28" s="12">
        <v>1.3</v>
      </c>
    </row>
    <row r="29" s="2" customFormat="1" ht="15" customHeight="1" spans="1:10">
      <c r="A29" s="12">
        <v>26</v>
      </c>
      <c r="B29" s="12" t="s">
        <v>143</v>
      </c>
      <c r="C29" s="13" t="s">
        <v>144</v>
      </c>
      <c r="D29" s="14">
        <v>50</v>
      </c>
      <c r="E29" s="12">
        <v>0.4</v>
      </c>
      <c r="F29" s="12">
        <v>20</v>
      </c>
      <c r="G29" s="12" t="s">
        <v>92</v>
      </c>
      <c r="H29" s="12">
        <v>1.17</v>
      </c>
      <c r="I29" s="12">
        <f t="shared" si="0"/>
        <v>23.4</v>
      </c>
      <c r="J29" s="12">
        <v>1.3</v>
      </c>
    </row>
    <row r="30" s="2" customFormat="1" ht="15" customHeight="1" spans="1:10">
      <c r="A30" s="12">
        <v>27</v>
      </c>
      <c r="B30" s="12" t="s">
        <v>145</v>
      </c>
      <c r="C30" s="13" t="s">
        <v>146</v>
      </c>
      <c r="D30" s="14">
        <v>50</v>
      </c>
      <c r="E30" s="12">
        <v>0.4</v>
      </c>
      <c r="F30" s="12">
        <v>20</v>
      </c>
      <c r="G30" s="12" t="s">
        <v>92</v>
      </c>
      <c r="H30" s="12">
        <v>1.17</v>
      </c>
      <c r="I30" s="12">
        <f t="shared" si="0"/>
        <v>23.4</v>
      </c>
      <c r="J30" s="12">
        <v>1.3</v>
      </c>
    </row>
    <row r="31" s="2" customFormat="1" ht="15" customHeight="1" spans="1:10">
      <c r="A31" s="12">
        <v>28</v>
      </c>
      <c r="B31" s="12" t="s">
        <v>147</v>
      </c>
      <c r="C31" s="13" t="s">
        <v>148</v>
      </c>
      <c r="D31" s="14">
        <v>50</v>
      </c>
      <c r="E31" s="12">
        <v>0.4</v>
      </c>
      <c r="F31" s="12">
        <v>20</v>
      </c>
      <c r="G31" s="12" t="s">
        <v>92</v>
      </c>
      <c r="H31" s="12">
        <v>1.17</v>
      </c>
      <c r="I31" s="12">
        <f t="shared" si="0"/>
        <v>23.4</v>
      </c>
      <c r="J31" s="12">
        <v>1.3</v>
      </c>
    </row>
    <row r="32" s="2" customFormat="1" ht="15" customHeight="1" spans="1:10">
      <c r="A32" s="12">
        <v>29</v>
      </c>
      <c r="B32" s="12" t="s">
        <v>149</v>
      </c>
      <c r="C32" s="13" t="s">
        <v>150</v>
      </c>
      <c r="D32" s="14">
        <v>6</v>
      </c>
      <c r="E32" s="12">
        <v>1</v>
      </c>
      <c r="F32" s="12">
        <v>6</v>
      </c>
      <c r="G32" s="12" t="s">
        <v>99</v>
      </c>
      <c r="H32" s="12">
        <v>14</v>
      </c>
      <c r="I32" s="12">
        <f t="shared" si="0"/>
        <v>84</v>
      </c>
      <c r="J32" s="12">
        <v>15.5</v>
      </c>
    </row>
    <row r="33" s="2" customFormat="1" ht="15" customHeight="1" spans="1:10">
      <c r="A33" s="12">
        <v>30</v>
      </c>
      <c r="B33" s="12" t="s">
        <v>151</v>
      </c>
      <c r="C33" s="13" t="s">
        <v>152</v>
      </c>
      <c r="D33" s="14">
        <v>6</v>
      </c>
      <c r="E33" s="12">
        <v>1</v>
      </c>
      <c r="F33" s="12">
        <v>6</v>
      </c>
      <c r="G33" s="12" t="s">
        <v>99</v>
      </c>
      <c r="H33" s="12">
        <v>14</v>
      </c>
      <c r="I33" s="12">
        <f t="shared" si="0"/>
        <v>84</v>
      </c>
      <c r="J33" s="12">
        <v>15.5</v>
      </c>
    </row>
    <row r="34" s="2" customFormat="1" ht="15" customHeight="1" spans="1:10">
      <c r="A34" s="12">
        <v>31</v>
      </c>
      <c r="B34" s="12" t="s">
        <v>153</v>
      </c>
      <c r="C34" s="13" t="s">
        <v>154</v>
      </c>
      <c r="D34" s="14">
        <v>12</v>
      </c>
      <c r="E34" s="12">
        <v>1</v>
      </c>
      <c r="F34" s="12">
        <v>12</v>
      </c>
      <c r="G34" s="12" t="s">
        <v>83</v>
      </c>
      <c r="H34" s="12">
        <v>4.5</v>
      </c>
      <c r="I34" s="12">
        <f t="shared" si="0"/>
        <v>54</v>
      </c>
      <c r="J34" s="12">
        <v>5</v>
      </c>
    </row>
    <row r="35" s="2" customFormat="1" ht="15" customHeight="1" spans="1:10">
      <c r="A35" s="12">
        <v>32</v>
      </c>
      <c r="B35" s="12" t="s">
        <v>155</v>
      </c>
      <c r="C35" s="13" t="s">
        <v>156</v>
      </c>
      <c r="D35" s="14">
        <v>12</v>
      </c>
      <c r="E35" s="12">
        <v>1</v>
      </c>
      <c r="F35" s="12">
        <v>12</v>
      </c>
      <c r="G35" s="12" t="s">
        <v>83</v>
      </c>
      <c r="H35" s="12">
        <v>4.5</v>
      </c>
      <c r="I35" s="12">
        <f t="shared" si="0"/>
        <v>54</v>
      </c>
      <c r="J35" s="12">
        <v>5</v>
      </c>
    </row>
    <row r="36" s="2" customFormat="1" ht="15" customHeight="1" spans="1:10">
      <c r="A36" s="12">
        <v>33</v>
      </c>
      <c r="B36" s="12" t="s">
        <v>157</v>
      </c>
      <c r="C36" s="13" t="s">
        <v>158</v>
      </c>
      <c r="D36" s="14">
        <v>8</v>
      </c>
      <c r="E36" s="12">
        <v>2</v>
      </c>
      <c r="F36" s="12">
        <v>16</v>
      </c>
      <c r="G36" s="12" t="s">
        <v>45</v>
      </c>
      <c r="H36" s="12">
        <v>58</v>
      </c>
      <c r="I36" s="12">
        <f t="shared" si="0"/>
        <v>928</v>
      </c>
      <c r="J36" s="12">
        <v>65</v>
      </c>
    </row>
    <row r="37" s="2" customFormat="1" ht="15" customHeight="1" spans="1:10">
      <c r="A37" s="12">
        <v>34</v>
      </c>
      <c r="B37" s="12" t="s">
        <v>159</v>
      </c>
      <c r="C37" s="13" t="s">
        <v>160</v>
      </c>
      <c r="D37" s="14">
        <v>25</v>
      </c>
      <c r="E37" s="12">
        <v>0.4</v>
      </c>
      <c r="F37" s="12">
        <v>10</v>
      </c>
      <c r="G37" s="12" t="s">
        <v>99</v>
      </c>
      <c r="H37" s="12">
        <v>4.6</v>
      </c>
      <c r="I37" s="12">
        <f t="shared" si="0"/>
        <v>46</v>
      </c>
      <c r="J37" s="12">
        <v>5</v>
      </c>
    </row>
    <row r="38" s="2" customFormat="1" ht="15" customHeight="1" spans="1:10">
      <c r="A38" s="12">
        <v>35</v>
      </c>
      <c r="B38" s="12" t="s">
        <v>161</v>
      </c>
      <c r="C38" s="13" t="s">
        <v>162</v>
      </c>
      <c r="D38" s="14">
        <v>12</v>
      </c>
      <c r="E38" s="12">
        <v>1</v>
      </c>
      <c r="F38" s="12">
        <v>12</v>
      </c>
      <c r="G38" s="12" t="s">
        <v>16</v>
      </c>
      <c r="H38" s="12">
        <v>7.5</v>
      </c>
      <c r="I38" s="12">
        <f t="shared" si="0"/>
        <v>90</v>
      </c>
      <c r="J38" s="12">
        <v>8.5</v>
      </c>
    </row>
    <row r="39" s="2" customFormat="1" ht="15" customHeight="1" spans="1:10">
      <c r="A39" s="12">
        <v>36</v>
      </c>
      <c r="B39" s="12" t="s">
        <v>163</v>
      </c>
      <c r="C39" s="13" t="s">
        <v>164</v>
      </c>
      <c r="D39" s="14">
        <v>12</v>
      </c>
      <c r="E39" s="12">
        <v>1</v>
      </c>
      <c r="F39" s="12">
        <v>12</v>
      </c>
      <c r="G39" s="12" t="s">
        <v>16</v>
      </c>
      <c r="H39" s="12">
        <v>6</v>
      </c>
      <c r="I39" s="12">
        <f t="shared" si="0"/>
        <v>72</v>
      </c>
      <c r="J39" s="12">
        <v>6.8</v>
      </c>
    </row>
    <row r="40" s="2" customFormat="1" ht="15" customHeight="1" spans="1:10">
      <c r="A40" s="12">
        <v>37</v>
      </c>
      <c r="B40" s="12" t="s">
        <v>165</v>
      </c>
      <c r="C40" s="13" t="s">
        <v>166</v>
      </c>
      <c r="D40" s="14">
        <v>12</v>
      </c>
      <c r="E40" s="12">
        <v>1</v>
      </c>
      <c r="F40" s="12">
        <v>12</v>
      </c>
      <c r="G40" s="12" t="s">
        <v>16</v>
      </c>
      <c r="H40" s="12">
        <v>4.5</v>
      </c>
      <c r="I40" s="12">
        <f t="shared" si="0"/>
        <v>54</v>
      </c>
      <c r="J40" s="12">
        <v>5</v>
      </c>
    </row>
    <row r="41" s="2" customFormat="1" ht="15" customHeight="1" spans="1:10">
      <c r="A41" s="12">
        <v>38</v>
      </c>
      <c r="B41" s="12" t="s">
        <v>167</v>
      </c>
      <c r="C41" s="13" t="s">
        <v>168</v>
      </c>
      <c r="D41" s="14">
        <v>12</v>
      </c>
      <c r="E41" s="12">
        <v>1</v>
      </c>
      <c r="F41" s="12">
        <v>12</v>
      </c>
      <c r="G41" s="12" t="s">
        <v>16</v>
      </c>
      <c r="H41" s="12">
        <v>5</v>
      </c>
      <c r="I41" s="12">
        <f t="shared" si="0"/>
        <v>60</v>
      </c>
      <c r="J41" s="12">
        <v>5.6</v>
      </c>
    </row>
    <row r="42" s="2" customFormat="1" ht="15" customHeight="1" spans="1:10">
      <c r="A42" s="12">
        <v>39</v>
      </c>
      <c r="B42" s="12" t="s">
        <v>169</v>
      </c>
      <c r="C42" s="13" t="s">
        <v>170</v>
      </c>
      <c r="D42" s="14">
        <v>4</v>
      </c>
      <c r="E42" s="12">
        <v>4</v>
      </c>
      <c r="F42" s="12">
        <v>16</v>
      </c>
      <c r="G42" s="12" t="s">
        <v>83</v>
      </c>
      <c r="H42" s="12">
        <v>8.6</v>
      </c>
      <c r="I42" s="12">
        <f t="shared" si="0"/>
        <v>137.6</v>
      </c>
      <c r="J42" s="12">
        <v>9.7</v>
      </c>
    </row>
    <row r="43" s="2" customFormat="1" ht="15" customHeight="1" spans="1:10">
      <c r="A43" s="12">
        <v>40</v>
      </c>
      <c r="B43" s="12" t="s">
        <v>171</v>
      </c>
      <c r="C43" s="13" t="s">
        <v>172</v>
      </c>
      <c r="D43" s="14">
        <v>12</v>
      </c>
      <c r="E43" s="12">
        <v>5</v>
      </c>
      <c r="F43" s="12">
        <v>60</v>
      </c>
      <c r="G43" s="12" t="s">
        <v>16</v>
      </c>
      <c r="H43" s="12">
        <v>2.5</v>
      </c>
      <c r="I43" s="12">
        <f t="shared" si="0"/>
        <v>150</v>
      </c>
      <c r="J43" s="12">
        <v>2.8</v>
      </c>
    </row>
    <row r="44" s="2" customFormat="1" ht="15" customHeight="1" spans="1:10">
      <c r="A44" s="12">
        <v>41</v>
      </c>
      <c r="B44" s="12" t="s">
        <v>62</v>
      </c>
      <c r="C44" s="13" t="s">
        <v>63</v>
      </c>
      <c r="D44" s="14">
        <v>24</v>
      </c>
      <c r="E44" s="12">
        <v>5</v>
      </c>
      <c r="F44" s="12">
        <v>120</v>
      </c>
      <c r="G44" s="12" t="s">
        <v>16</v>
      </c>
      <c r="H44" s="12">
        <v>2.2</v>
      </c>
      <c r="I44" s="12">
        <f t="shared" si="0"/>
        <v>264</v>
      </c>
      <c r="J44" s="12">
        <v>2.5</v>
      </c>
    </row>
    <row r="45" s="2" customFormat="1" ht="15" customHeight="1" spans="1:10">
      <c r="A45" s="12">
        <v>42</v>
      </c>
      <c r="B45" s="12" t="s">
        <v>60</v>
      </c>
      <c r="C45" s="13" t="s">
        <v>61</v>
      </c>
      <c r="D45" s="14">
        <v>24</v>
      </c>
      <c r="E45" s="12">
        <v>4</v>
      </c>
      <c r="F45" s="12">
        <v>96</v>
      </c>
      <c r="G45" s="12" t="s">
        <v>16</v>
      </c>
      <c r="H45" s="12">
        <v>1.8</v>
      </c>
      <c r="I45" s="12">
        <f t="shared" si="0"/>
        <v>172.8</v>
      </c>
      <c r="J45" s="12">
        <v>2</v>
      </c>
    </row>
    <row r="46" s="2" customFormat="1" ht="15" customHeight="1" spans="1:10">
      <c r="A46" s="12">
        <v>43</v>
      </c>
      <c r="B46" s="12" t="s">
        <v>173</v>
      </c>
      <c r="C46" s="13" t="s">
        <v>174</v>
      </c>
      <c r="D46" s="14">
        <v>15</v>
      </c>
      <c r="E46" s="12">
        <v>1</v>
      </c>
      <c r="F46" s="12">
        <v>15</v>
      </c>
      <c r="G46" s="12" t="s">
        <v>16</v>
      </c>
      <c r="H46" s="12">
        <v>4</v>
      </c>
      <c r="I46" s="12">
        <f t="shared" si="0"/>
        <v>60</v>
      </c>
      <c r="J46" s="12">
        <v>4.5</v>
      </c>
    </row>
    <row r="47" s="2" customFormat="1" ht="15" customHeight="1" spans="1:10">
      <c r="A47" s="12">
        <v>44</v>
      </c>
      <c r="B47" s="12" t="s">
        <v>175</v>
      </c>
      <c r="C47" s="13" t="s">
        <v>176</v>
      </c>
      <c r="D47" s="14">
        <v>15</v>
      </c>
      <c r="E47" s="12">
        <v>1</v>
      </c>
      <c r="F47" s="12">
        <v>15</v>
      </c>
      <c r="G47" s="12" t="s">
        <v>16</v>
      </c>
      <c r="H47" s="12">
        <v>4</v>
      </c>
      <c r="I47" s="12">
        <f t="shared" si="0"/>
        <v>60</v>
      </c>
      <c r="J47" s="12">
        <v>4.5</v>
      </c>
    </row>
    <row r="48" s="2" customFormat="1" ht="15" customHeight="1" spans="1:10">
      <c r="A48" s="12">
        <v>45</v>
      </c>
      <c r="B48" s="12" t="s">
        <v>177</v>
      </c>
      <c r="C48" s="13" t="s">
        <v>178</v>
      </c>
      <c r="D48" s="14">
        <v>15</v>
      </c>
      <c r="E48" s="12">
        <v>1</v>
      </c>
      <c r="F48" s="12">
        <v>15</v>
      </c>
      <c r="G48" s="12" t="s">
        <v>16</v>
      </c>
      <c r="H48" s="12">
        <v>4</v>
      </c>
      <c r="I48" s="12">
        <f t="shared" si="0"/>
        <v>60</v>
      </c>
      <c r="J48" s="12">
        <v>4.5</v>
      </c>
    </row>
    <row r="49" s="2" customFormat="1" ht="15" customHeight="1" spans="1:10">
      <c r="A49" s="12">
        <v>46</v>
      </c>
      <c r="B49" s="12" t="s">
        <v>179</v>
      </c>
      <c r="C49" s="13" t="s">
        <v>180</v>
      </c>
      <c r="D49" s="14">
        <v>15</v>
      </c>
      <c r="E49" s="12">
        <v>2</v>
      </c>
      <c r="F49" s="12">
        <v>30</v>
      </c>
      <c r="G49" s="12" t="s">
        <v>16</v>
      </c>
      <c r="H49" s="12">
        <v>3.15</v>
      </c>
      <c r="I49" s="12">
        <f t="shared" si="0"/>
        <v>94.5</v>
      </c>
      <c r="J49" s="12">
        <v>3.5</v>
      </c>
    </row>
    <row r="50" s="2" customFormat="1" ht="15" customHeight="1" spans="1:10">
      <c r="A50" s="12">
        <v>47</v>
      </c>
      <c r="B50" s="12" t="s">
        <v>181</v>
      </c>
      <c r="C50" s="13" t="s">
        <v>182</v>
      </c>
      <c r="D50" s="14">
        <v>15</v>
      </c>
      <c r="E50" s="12">
        <v>2</v>
      </c>
      <c r="F50" s="12">
        <v>30</v>
      </c>
      <c r="G50" s="12" t="s">
        <v>16</v>
      </c>
      <c r="H50" s="12">
        <v>3.5</v>
      </c>
      <c r="I50" s="12">
        <f t="shared" si="0"/>
        <v>105</v>
      </c>
      <c r="J50" s="12">
        <v>4</v>
      </c>
    </row>
    <row r="51" s="2" customFormat="1" ht="15" customHeight="1" spans="1:10">
      <c r="A51" s="12">
        <v>48</v>
      </c>
      <c r="B51" s="12" t="s">
        <v>183</v>
      </c>
      <c r="C51" s="13" t="s">
        <v>184</v>
      </c>
      <c r="D51" s="14">
        <v>15</v>
      </c>
      <c r="E51" s="12">
        <v>2</v>
      </c>
      <c r="F51" s="12">
        <v>30</v>
      </c>
      <c r="G51" s="12" t="s">
        <v>16</v>
      </c>
      <c r="H51" s="12">
        <v>5.1</v>
      </c>
      <c r="I51" s="12">
        <f t="shared" si="0"/>
        <v>153</v>
      </c>
      <c r="J51" s="12">
        <v>5.5</v>
      </c>
    </row>
    <row r="52" s="2" customFormat="1" ht="15" customHeight="1" spans="1:10">
      <c r="A52" s="12">
        <v>49</v>
      </c>
      <c r="B52" s="12" t="s">
        <v>185</v>
      </c>
      <c r="C52" s="13" t="s">
        <v>186</v>
      </c>
      <c r="D52" s="14">
        <v>15</v>
      </c>
      <c r="E52" s="12">
        <v>1</v>
      </c>
      <c r="F52" s="12">
        <v>15</v>
      </c>
      <c r="G52" s="12" t="s">
        <v>16</v>
      </c>
      <c r="H52" s="12">
        <v>4.6</v>
      </c>
      <c r="I52" s="12">
        <f t="shared" si="0"/>
        <v>69</v>
      </c>
      <c r="J52" s="18">
        <v>5</v>
      </c>
    </row>
    <row r="53" s="2" customFormat="1" ht="15" customHeight="1" spans="1:10">
      <c r="A53" s="12">
        <v>50</v>
      </c>
      <c r="B53" s="12" t="s">
        <v>187</v>
      </c>
      <c r="C53" s="13" t="s">
        <v>188</v>
      </c>
      <c r="D53" s="14">
        <v>15</v>
      </c>
      <c r="E53" s="12">
        <v>1</v>
      </c>
      <c r="F53" s="12">
        <v>15</v>
      </c>
      <c r="G53" s="12" t="s">
        <v>16</v>
      </c>
      <c r="H53" s="12">
        <v>4.6</v>
      </c>
      <c r="I53" s="12">
        <f t="shared" si="0"/>
        <v>69</v>
      </c>
      <c r="J53" s="18">
        <v>5</v>
      </c>
    </row>
    <row r="54" s="2" customFormat="1" ht="15" customHeight="1" spans="1:10">
      <c r="A54" s="12">
        <v>51</v>
      </c>
      <c r="B54" s="12" t="s">
        <v>189</v>
      </c>
      <c r="C54" s="13" t="s">
        <v>190</v>
      </c>
      <c r="D54" s="14">
        <v>15</v>
      </c>
      <c r="E54" s="12">
        <v>1</v>
      </c>
      <c r="F54" s="12">
        <v>15</v>
      </c>
      <c r="G54" s="12" t="s">
        <v>16</v>
      </c>
      <c r="H54" s="12">
        <v>5</v>
      </c>
      <c r="I54" s="12">
        <f t="shared" si="0"/>
        <v>75</v>
      </c>
      <c r="J54" s="12">
        <v>5.5</v>
      </c>
    </row>
    <row r="55" s="2" customFormat="1" ht="15" customHeight="1" spans="1:10">
      <c r="A55" s="12">
        <v>52</v>
      </c>
      <c r="B55" s="12" t="s">
        <v>191</v>
      </c>
      <c r="C55" s="13" t="s">
        <v>192</v>
      </c>
      <c r="D55" s="14">
        <v>15</v>
      </c>
      <c r="E55" s="12">
        <v>1</v>
      </c>
      <c r="F55" s="12">
        <v>15</v>
      </c>
      <c r="G55" s="12" t="s">
        <v>16</v>
      </c>
      <c r="H55" s="12">
        <v>5</v>
      </c>
      <c r="I55" s="12">
        <f t="shared" si="0"/>
        <v>75</v>
      </c>
      <c r="J55" s="12">
        <v>5.5</v>
      </c>
    </row>
    <row r="56" s="2" customFormat="1" ht="15" customHeight="1" spans="1:10">
      <c r="A56" s="12">
        <v>53</v>
      </c>
      <c r="B56" s="12" t="s">
        <v>193</v>
      </c>
      <c r="C56" s="13" t="s">
        <v>194</v>
      </c>
      <c r="D56" s="14">
        <v>15</v>
      </c>
      <c r="E56" s="12">
        <v>1</v>
      </c>
      <c r="F56" s="12">
        <v>15</v>
      </c>
      <c r="G56" s="12" t="s">
        <v>16</v>
      </c>
      <c r="H56" s="12">
        <v>5</v>
      </c>
      <c r="I56" s="12">
        <f t="shared" si="0"/>
        <v>75</v>
      </c>
      <c r="J56" s="12">
        <v>5.5</v>
      </c>
    </row>
    <row r="57" s="2" customFormat="1" ht="15" customHeight="1" spans="1:10">
      <c r="A57" s="12">
        <v>54</v>
      </c>
      <c r="B57" s="12" t="s">
        <v>195</v>
      </c>
      <c r="C57" s="13" t="s">
        <v>196</v>
      </c>
      <c r="D57" s="14">
        <v>15</v>
      </c>
      <c r="E57" s="12">
        <v>2</v>
      </c>
      <c r="F57" s="12">
        <v>30</v>
      </c>
      <c r="G57" s="12" t="s">
        <v>16</v>
      </c>
      <c r="H57" s="12">
        <v>4.6</v>
      </c>
      <c r="I57" s="12">
        <f t="shared" si="0"/>
        <v>138</v>
      </c>
      <c r="J57" s="12">
        <v>5</v>
      </c>
    </row>
    <row r="58" s="2" customFormat="1" ht="15" customHeight="1" spans="1:10">
      <c r="A58" s="12">
        <v>55</v>
      </c>
      <c r="B58" s="12" t="s">
        <v>197</v>
      </c>
      <c r="C58" s="13" t="s">
        <v>198</v>
      </c>
      <c r="D58" s="14">
        <v>15</v>
      </c>
      <c r="E58" s="12">
        <v>2</v>
      </c>
      <c r="F58" s="12">
        <v>30</v>
      </c>
      <c r="G58" s="12" t="s">
        <v>16</v>
      </c>
      <c r="H58" s="12">
        <v>4.6</v>
      </c>
      <c r="I58" s="12">
        <f t="shared" si="0"/>
        <v>138</v>
      </c>
      <c r="J58" s="12">
        <v>5</v>
      </c>
    </row>
    <row r="59" s="2" customFormat="1" ht="15" customHeight="1" spans="1:10">
      <c r="A59" s="12">
        <v>56</v>
      </c>
      <c r="B59" s="12" t="s">
        <v>199</v>
      </c>
      <c r="C59" s="13" t="s">
        <v>200</v>
      </c>
      <c r="D59" s="14">
        <v>6</v>
      </c>
      <c r="E59" s="12">
        <v>2</v>
      </c>
      <c r="F59" s="12">
        <v>12</v>
      </c>
      <c r="G59" s="12" t="s">
        <v>201</v>
      </c>
      <c r="H59" s="12">
        <v>8</v>
      </c>
      <c r="I59" s="12">
        <f t="shared" si="0"/>
        <v>96</v>
      </c>
      <c r="J59" s="12">
        <v>9</v>
      </c>
    </row>
    <row r="60" s="2" customFormat="1" ht="15" customHeight="1" spans="1:10">
      <c r="A60" s="12">
        <v>57</v>
      </c>
      <c r="B60" s="12" t="s">
        <v>202</v>
      </c>
      <c r="C60" s="13" t="s">
        <v>203</v>
      </c>
      <c r="D60" s="14">
        <v>6</v>
      </c>
      <c r="E60" s="12">
        <v>2</v>
      </c>
      <c r="F60" s="12">
        <v>12</v>
      </c>
      <c r="G60" s="12" t="s">
        <v>204</v>
      </c>
      <c r="H60" s="12">
        <v>9</v>
      </c>
      <c r="I60" s="12">
        <f t="shared" si="0"/>
        <v>108</v>
      </c>
      <c r="J60" s="12">
        <v>9.9</v>
      </c>
    </row>
    <row r="61" s="2" customFormat="1" ht="15" customHeight="1" spans="1:10">
      <c r="A61" s="12">
        <v>58</v>
      </c>
      <c r="B61" s="12" t="s">
        <v>205</v>
      </c>
      <c r="C61" s="13" t="s">
        <v>206</v>
      </c>
      <c r="D61" s="14">
        <v>15</v>
      </c>
      <c r="E61" s="12">
        <v>2</v>
      </c>
      <c r="F61" s="12">
        <v>30</v>
      </c>
      <c r="G61" s="12" t="s">
        <v>16</v>
      </c>
      <c r="H61" s="12">
        <v>4.1</v>
      </c>
      <c r="I61" s="12">
        <f t="shared" si="0"/>
        <v>123</v>
      </c>
      <c r="J61" s="12">
        <v>4.5</v>
      </c>
    </row>
    <row r="62" s="2" customFormat="1" ht="15" customHeight="1" spans="1:10">
      <c r="A62" s="12">
        <v>59</v>
      </c>
      <c r="B62" s="12" t="s">
        <v>207</v>
      </c>
      <c r="C62" s="13" t="s">
        <v>208</v>
      </c>
      <c r="D62" s="14">
        <v>6</v>
      </c>
      <c r="E62" s="12">
        <v>1</v>
      </c>
      <c r="F62" s="12">
        <v>6</v>
      </c>
      <c r="G62" s="12" t="s">
        <v>16</v>
      </c>
      <c r="H62" s="12">
        <v>12.5</v>
      </c>
      <c r="I62" s="12">
        <f t="shared" si="0"/>
        <v>75</v>
      </c>
      <c r="J62" s="12">
        <v>13.9</v>
      </c>
    </row>
    <row r="63" s="2" customFormat="1" ht="15" customHeight="1" spans="1:10">
      <c r="A63" s="12">
        <v>60</v>
      </c>
      <c r="B63" s="12" t="s">
        <v>209</v>
      </c>
      <c r="C63" s="13" t="s">
        <v>210</v>
      </c>
      <c r="D63" s="14">
        <v>6</v>
      </c>
      <c r="E63" s="12">
        <v>1</v>
      </c>
      <c r="F63" s="12">
        <v>6</v>
      </c>
      <c r="G63" s="12" t="s">
        <v>16</v>
      </c>
      <c r="H63" s="12">
        <v>12.5</v>
      </c>
      <c r="I63" s="12">
        <f t="shared" si="0"/>
        <v>75</v>
      </c>
      <c r="J63" s="12">
        <v>13.9</v>
      </c>
    </row>
    <row r="64" s="2" customFormat="1" ht="15" customHeight="1" spans="1:10">
      <c r="A64" s="12">
        <v>61</v>
      </c>
      <c r="B64" s="12" t="s">
        <v>211</v>
      </c>
      <c r="C64" s="13" t="s">
        <v>212</v>
      </c>
      <c r="D64" s="14">
        <v>6</v>
      </c>
      <c r="E64" s="12">
        <v>1</v>
      </c>
      <c r="F64" s="12">
        <v>6</v>
      </c>
      <c r="G64" s="12" t="s">
        <v>16</v>
      </c>
      <c r="H64" s="12">
        <v>12.5</v>
      </c>
      <c r="I64" s="12">
        <f t="shared" si="0"/>
        <v>75</v>
      </c>
      <c r="J64" s="12">
        <v>13.9</v>
      </c>
    </row>
    <row r="65" s="2" customFormat="1" ht="15" customHeight="1" spans="1:10">
      <c r="A65" s="12">
        <v>62</v>
      </c>
      <c r="B65" s="12" t="s">
        <v>213</v>
      </c>
      <c r="C65" s="13" t="s">
        <v>214</v>
      </c>
      <c r="D65" s="14">
        <v>15</v>
      </c>
      <c r="E65" s="12">
        <v>1</v>
      </c>
      <c r="F65" s="12">
        <v>15</v>
      </c>
      <c r="G65" s="12" t="s">
        <v>16</v>
      </c>
      <c r="H65" s="12">
        <v>4.6</v>
      </c>
      <c r="I65" s="12">
        <f t="shared" si="0"/>
        <v>69</v>
      </c>
      <c r="J65" s="12">
        <v>5</v>
      </c>
    </row>
    <row r="66" s="2" customFormat="1" ht="15" customHeight="1" spans="1:10">
      <c r="A66" s="12">
        <v>63</v>
      </c>
      <c r="B66" s="12" t="s">
        <v>215</v>
      </c>
      <c r="C66" s="13" t="s">
        <v>216</v>
      </c>
      <c r="D66" s="14">
        <v>15</v>
      </c>
      <c r="E66" s="12">
        <v>1</v>
      </c>
      <c r="F66" s="12">
        <v>15</v>
      </c>
      <c r="G66" s="12" t="s">
        <v>16</v>
      </c>
      <c r="H66" s="12">
        <v>4.6</v>
      </c>
      <c r="I66" s="12">
        <f t="shared" si="0"/>
        <v>69</v>
      </c>
      <c r="J66" s="12">
        <v>5</v>
      </c>
    </row>
    <row r="67" s="2" customFormat="1" ht="15" customHeight="1" spans="1:10">
      <c r="A67" s="12">
        <v>64</v>
      </c>
      <c r="B67" s="12" t="s">
        <v>217</v>
      </c>
      <c r="C67" s="13" t="s">
        <v>218</v>
      </c>
      <c r="D67" s="14">
        <v>15</v>
      </c>
      <c r="E67" s="12">
        <v>2</v>
      </c>
      <c r="F67" s="12">
        <v>30</v>
      </c>
      <c r="G67" s="12" t="s">
        <v>16</v>
      </c>
      <c r="H67" s="12">
        <v>4.6</v>
      </c>
      <c r="I67" s="12">
        <f t="shared" si="0"/>
        <v>138</v>
      </c>
      <c r="J67" s="12">
        <v>5</v>
      </c>
    </row>
    <row r="68" s="2" customFormat="1" ht="15" customHeight="1" spans="1:10">
      <c r="A68" s="12">
        <v>65</v>
      </c>
      <c r="B68" s="12" t="s">
        <v>219</v>
      </c>
      <c r="C68" s="13" t="s">
        <v>220</v>
      </c>
      <c r="D68" s="14">
        <v>24</v>
      </c>
      <c r="E68" s="12">
        <v>1</v>
      </c>
      <c r="F68" s="12">
        <v>24</v>
      </c>
      <c r="G68" s="12" t="s">
        <v>16</v>
      </c>
      <c r="H68" s="12">
        <v>9</v>
      </c>
      <c r="I68" s="12">
        <f t="shared" ref="I68:I76" si="1">H68*F68</f>
        <v>216</v>
      </c>
      <c r="J68" s="12">
        <v>9.9</v>
      </c>
    </row>
    <row r="69" s="2" customFormat="1" ht="15" customHeight="1" spans="1:10">
      <c r="A69" s="12">
        <v>66</v>
      </c>
      <c r="B69" s="12" t="s">
        <v>221</v>
      </c>
      <c r="C69" s="13" t="s">
        <v>222</v>
      </c>
      <c r="D69" s="14">
        <v>24</v>
      </c>
      <c r="E69" s="12">
        <v>1</v>
      </c>
      <c r="F69" s="12">
        <v>24</v>
      </c>
      <c r="G69" s="12" t="s">
        <v>16</v>
      </c>
      <c r="H69" s="12">
        <v>9</v>
      </c>
      <c r="I69" s="12">
        <f t="shared" si="1"/>
        <v>216</v>
      </c>
      <c r="J69" s="12">
        <v>9.9</v>
      </c>
    </row>
    <row r="70" s="2" customFormat="1" ht="15" customHeight="1" spans="1:10">
      <c r="A70" s="12">
        <v>67</v>
      </c>
      <c r="B70" s="12" t="s">
        <v>223</v>
      </c>
      <c r="C70" s="13" t="s">
        <v>224</v>
      </c>
      <c r="D70" s="14">
        <v>12</v>
      </c>
      <c r="E70" s="12">
        <v>1</v>
      </c>
      <c r="F70" s="12">
        <v>12</v>
      </c>
      <c r="G70" s="12" t="s">
        <v>16</v>
      </c>
      <c r="H70" s="12">
        <v>8</v>
      </c>
      <c r="I70" s="12">
        <f t="shared" si="1"/>
        <v>96</v>
      </c>
      <c r="J70" s="12">
        <v>8.9</v>
      </c>
    </row>
    <row r="71" s="2" customFormat="1" ht="15" customHeight="1" spans="1:10">
      <c r="A71" s="12">
        <v>68</v>
      </c>
      <c r="B71" s="12" t="s">
        <v>225</v>
      </c>
      <c r="C71" s="13" t="s">
        <v>226</v>
      </c>
      <c r="D71" s="14">
        <v>20</v>
      </c>
      <c r="E71" s="12">
        <v>1</v>
      </c>
      <c r="F71" s="12">
        <v>20</v>
      </c>
      <c r="G71" s="12" t="s">
        <v>45</v>
      </c>
      <c r="H71" s="12">
        <v>9</v>
      </c>
      <c r="I71" s="12">
        <f t="shared" si="1"/>
        <v>180</v>
      </c>
      <c r="J71" s="12">
        <v>10</v>
      </c>
    </row>
    <row r="72" s="2" customFormat="1" ht="15" customHeight="1" spans="1:10">
      <c r="A72" s="12">
        <v>69</v>
      </c>
      <c r="B72" s="49" t="s">
        <v>227</v>
      </c>
      <c r="C72" s="13" t="s">
        <v>228</v>
      </c>
      <c r="D72" s="14">
        <v>6</v>
      </c>
      <c r="E72" s="12">
        <v>1</v>
      </c>
      <c r="F72" s="12">
        <v>1</v>
      </c>
      <c r="G72" s="12" t="s">
        <v>45</v>
      </c>
      <c r="H72" s="12">
        <v>88</v>
      </c>
      <c r="I72" s="12">
        <f t="shared" si="1"/>
        <v>88</v>
      </c>
      <c r="J72" s="12">
        <v>98</v>
      </c>
    </row>
    <row r="73" s="2" customFormat="1" ht="15" customHeight="1" spans="1:10">
      <c r="A73" s="12">
        <v>70</v>
      </c>
      <c r="B73" s="49" t="s">
        <v>229</v>
      </c>
      <c r="C73" s="13" t="s">
        <v>230</v>
      </c>
      <c r="D73" s="14">
        <v>8</v>
      </c>
      <c r="E73" s="12">
        <v>1</v>
      </c>
      <c r="F73" s="12">
        <v>1</v>
      </c>
      <c r="G73" s="12" t="s">
        <v>45</v>
      </c>
      <c r="H73" s="12">
        <v>62</v>
      </c>
      <c r="I73" s="12">
        <f t="shared" si="1"/>
        <v>62</v>
      </c>
      <c r="J73" s="12">
        <v>69</v>
      </c>
    </row>
    <row r="74" s="2" customFormat="1" ht="15" customHeight="1" spans="1:10">
      <c r="A74" s="12">
        <v>71</v>
      </c>
      <c r="B74" s="49" t="s">
        <v>231</v>
      </c>
      <c r="C74" s="13" t="s">
        <v>232</v>
      </c>
      <c r="D74" s="14">
        <v>6</v>
      </c>
      <c r="E74" s="12">
        <v>1</v>
      </c>
      <c r="F74" s="12">
        <v>1</v>
      </c>
      <c r="G74" s="12" t="s">
        <v>45</v>
      </c>
      <c r="H74" s="12">
        <v>62</v>
      </c>
      <c r="I74" s="12">
        <f t="shared" si="1"/>
        <v>62</v>
      </c>
      <c r="J74" s="12">
        <v>69</v>
      </c>
    </row>
    <row r="75" s="2" customFormat="1" ht="15" customHeight="1" spans="1:10">
      <c r="A75" s="12">
        <v>72</v>
      </c>
      <c r="B75" s="49" t="s">
        <v>233</v>
      </c>
      <c r="C75" s="13" t="s">
        <v>234</v>
      </c>
      <c r="D75" s="14">
        <v>6</v>
      </c>
      <c r="E75" s="12">
        <v>1</v>
      </c>
      <c r="F75" s="12">
        <v>1</v>
      </c>
      <c r="G75" s="12" t="s">
        <v>45</v>
      </c>
      <c r="H75" s="12">
        <v>79</v>
      </c>
      <c r="I75" s="12">
        <f t="shared" si="1"/>
        <v>79</v>
      </c>
      <c r="J75" s="12">
        <v>88</v>
      </c>
    </row>
    <row r="76" s="2" customFormat="1" ht="15" customHeight="1" spans="1:10">
      <c r="A76" s="12">
        <v>73</v>
      </c>
      <c r="B76" s="49" t="s">
        <v>235</v>
      </c>
      <c r="C76" s="13" t="s">
        <v>236</v>
      </c>
      <c r="D76" s="14">
        <v>5</v>
      </c>
      <c r="E76" s="12">
        <v>1</v>
      </c>
      <c r="F76" s="12">
        <v>1</v>
      </c>
      <c r="G76" s="12" t="s">
        <v>45</v>
      </c>
      <c r="H76" s="12">
        <v>106</v>
      </c>
      <c r="I76" s="12">
        <f t="shared" si="1"/>
        <v>106</v>
      </c>
      <c r="J76" s="12">
        <v>118</v>
      </c>
    </row>
    <row r="77" s="2" customFormat="1" ht="15" customHeight="1" spans="1:10">
      <c r="A77" s="12"/>
      <c r="B77" s="12"/>
      <c r="C77" s="12" t="s">
        <v>37</v>
      </c>
      <c r="D77" s="12"/>
      <c r="E77" s="12">
        <f>SUM(E4:E76)</f>
        <v>83.9474</v>
      </c>
      <c r="F77" s="12"/>
      <c r="G77" s="12"/>
      <c r="H77" s="12"/>
      <c r="I77" s="12">
        <f>SUM(I4:I76)</f>
        <v>8371.5</v>
      </c>
      <c r="J77" s="19"/>
    </row>
    <row r="78" s="2" customFormat="1" ht="21" customHeight="1" spans="1:9">
      <c r="A78" s="9" t="s">
        <v>80</v>
      </c>
      <c r="B78" s="15"/>
      <c r="C78" s="9" t="s">
        <v>40</v>
      </c>
      <c r="D78" s="15"/>
      <c r="E78" s="15" t="s">
        <v>41</v>
      </c>
      <c r="F78" s="15"/>
      <c r="G78" s="15"/>
      <c r="H78" s="15"/>
      <c r="I78" s="15"/>
    </row>
    <row r="79" s="3" customFormat="1" ht="17.25" spans="1:9">
      <c r="A79" s="16"/>
      <c r="B79" s="16"/>
      <c r="C79" s="17"/>
      <c r="D79" s="16"/>
      <c r="E79" s="16"/>
      <c r="F79" s="16"/>
      <c r="G79" s="16"/>
      <c r="H79" s="16"/>
      <c r="I79" s="16"/>
    </row>
    <row r="81" s="4" customFormat="1" spans="1:8">
      <c r="A81" s="5"/>
      <c r="B81" s="6"/>
      <c r="C81" s="5"/>
      <c r="D81" s="5"/>
      <c r="E81" s="5"/>
      <c r="F81" s="5"/>
      <c r="G81" s="5"/>
      <c r="H81" s="5"/>
    </row>
  </sheetData>
  <mergeCells count="2">
    <mergeCell ref="A1:J1"/>
    <mergeCell ref="F2:H2"/>
  </mergeCells>
  <conditionalFormatting sqref="B76">
    <cfRule type="duplicateValues" dxfId="0" priority="1"/>
  </conditionalFormatting>
  <conditionalFormatting sqref="B29:B48">
    <cfRule type="duplicateValues" dxfId="0" priority="3"/>
  </conditionalFormatting>
  <conditionalFormatting sqref="B51:B75">
    <cfRule type="duplicateValues" dxfId="0" priority="2"/>
  </conditionalFormatting>
  <conditionalFormatting sqref="B1:B28 B49:B50 B82:B1048576 B77:B80">
    <cfRule type="duplicateValues" dxfId="0" priority="4"/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workbookViewId="0">
      <selection activeCell="L25" sqref="L25"/>
    </sheetView>
  </sheetViews>
  <sheetFormatPr defaultColWidth="9" defaultRowHeight="16.5"/>
  <cols>
    <col min="1" max="1" width="5.25" style="5" customWidth="1"/>
    <col min="2" max="2" width="18.375" style="5" customWidth="1"/>
    <col min="3" max="3" width="31.375" style="6" customWidth="1"/>
    <col min="4" max="4" width="4.625" style="5" customWidth="1"/>
    <col min="5" max="5" width="13.125" style="5" customWidth="1"/>
    <col min="6" max="7" width="4.625" style="5" customWidth="1"/>
    <col min="8" max="8" width="6.25" style="5" customWidth="1"/>
    <col min="9" max="9" width="7.875" style="5" customWidth="1"/>
    <col min="10" max="10" width="7.875" style="4" customWidth="1"/>
    <col min="11" max="11" width="17.15" style="4" customWidth="1"/>
    <col min="12" max="16384" width="9" style="4"/>
  </cols>
  <sheetData>
    <row r="1" s="20" customFormat="1" ht="22.5" spans="1:10">
      <c r="A1" s="21" t="s">
        <v>42</v>
      </c>
      <c r="B1" s="21"/>
      <c r="C1" s="22"/>
      <c r="D1" s="21"/>
      <c r="E1" s="21"/>
      <c r="F1" s="21"/>
      <c r="G1" s="21"/>
      <c r="H1" s="21"/>
      <c r="I1" s="21"/>
      <c r="J1" s="21"/>
    </row>
    <row r="2" s="2" customFormat="1" ht="18" customHeight="1" spans="1:9">
      <c r="A2" s="9" t="s">
        <v>1</v>
      </c>
      <c r="B2" s="9" t="s">
        <v>2</v>
      </c>
      <c r="C2" s="9"/>
      <c r="D2" s="10"/>
      <c r="E2" s="10" t="s">
        <v>3</v>
      </c>
      <c r="F2" s="11">
        <v>45804</v>
      </c>
      <c r="G2" s="11"/>
      <c r="H2" s="11"/>
      <c r="I2" s="15"/>
    </row>
    <row r="3" s="2" customFormat="1" ht="18" customHeight="1" spans="1:10">
      <c r="A3" s="12" t="s">
        <v>4</v>
      </c>
      <c r="B3" s="12" t="s">
        <v>5</v>
      </c>
      <c r="C3" s="13" t="s">
        <v>6</v>
      </c>
      <c r="D3" s="12" t="s">
        <v>7</v>
      </c>
      <c r="E3" s="12" t="s">
        <v>8</v>
      </c>
      <c r="F3" s="12" t="s">
        <v>9</v>
      </c>
      <c r="G3" s="12" t="s">
        <v>10</v>
      </c>
      <c r="H3" s="12" t="s">
        <v>11</v>
      </c>
      <c r="I3" s="12" t="s">
        <v>12</v>
      </c>
      <c r="J3" s="12" t="s">
        <v>13</v>
      </c>
    </row>
    <row r="4" s="2" customFormat="1" ht="18" customHeight="1" spans="1:10">
      <c r="A4" s="12">
        <v>1</v>
      </c>
      <c r="B4" s="52" t="s">
        <v>84</v>
      </c>
      <c r="C4" s="24" t="s">
        <v>85</v>
      </c>
      <c r="D4" s="25">
        <v>4</v>
      </c>
      <c r="E4" s="23">
        <v>4</v>
      </c>
      <c r="F4" s="23">
        <v>16</v>
      </c>
      <c r="G4" s="23" t="s">
        <v>83</v>
      </c>
      <c r="H4" s="23">
        <v>169</v>
      </c>
      <c r="I4" s="23">
        <f t="shared" ref="I4:I17" si="0">H4*F4</f>
        <v>2704</v>
      </c>
      <c r="J4" s="23">
        <v>180</v>
      </c>
    </row>
    <row r="5" s="2" customFormat="1" ht="18" customHeight="1" spans="1:10">
      <c r="A5" s="12">
        <v>2</v>
      </c>
      <c r="B5" s="52" t="s">
        <v>237</v>
      </c>
      <c r="C5" s="24" t="s">
        <v>238</v>
      </c>
      <c r="D5" s="25">
        <v>8</v>
      </c>
      <c r="E5" s="23">
        <v>1</v>
      </c>
      <c r="F5" s="23">
        <v>8</v>
      </c>
      <c r="G5" s="23" t="s">
        <v>99</v>
      </c>
      <c r="H5" s="23">
        <v>78</v>
      </c>
      <c r="I5" s="23">
        <f t="shared" si="0"/>
        <v>624</v>
      </c>
      <c r="J5" s="23">
        <v>89</v>
      </c>
    </row>
    <row r="6" s="2" customFormat="1" ht="18" customHeight="1" spans="1:10">
      <c r="A6" s="12">
        <v>3</v>
      </c>
      <c r="B6" s="52" t="s">
        <v>58</v>
      </c>
      <c r="C6" s="24" t="s">
        <v>59</v>
      </c>
      <c r="D6" s="25">
        <v>6</v>
      </c>
      <c r="E6" s="23">
        <v>4</v>
      </c>
      <c r="F6" s="23">
        <v>24</v>
      </c>
      <c r="G6" s="23" t="s">
        <v>45</v>
      </c>
      <c r="H6" s="23">
        <v>55</v>
      </c>
      <c r="I6" s="23">
        <f t="shared" si="0"/>
        <v>1320</v>
      </c>
      <c r="J6" s="23">
        <v>62</v>
      </c>
    </row>
    <row r="7" s="2" customFormat="1" ht="18" customHeight="1" spans="1:10">
      <c r="A7" s="12">
        <v>4</v>
      </c>
      <c r="B7" s="52" t="s">
        <v>239</v>
      </c>
      <c r="C7" s="24" t="s">
        <v>240</v>
      </c>
      <c r="D7" s="25">
        <v>15</v>
      </c>
      <c r="E7" s="23">
        <v>4</v>
      </c>
      <c r="F7" s="23">
        <v>60</v>
      </c>
      <c r="G7" s="23" t="s">
        <v>16</v>
      </c>
      <c r="H7" s="23">
        <v>8.5</v>
      </c>
      <c r="I7" s="23">
        <f t="shared" si="0"/>
        <v>510</v>
      </c>
      <c r="J7" s="23">
        <v>9.6</v>
      </c>
    </row>
    <row r="8" s="2" customFormat="1" ht="18" customHeight="1" spans="1:10">
      <c r="A8" s="12">
        <v>5</v>
      </c>
      <c r="B8" s="52" t="s">
        <v>241</v>
      </c>
      <c r="C8" s="24" t="s">
        <v>242</v>
      </c>
      <c r="D8" s="25">
        <v>15</v>
      </c>
      <c r="E8" s="23">
        <v>3</v>
      </c>
      <c r="F8" s="23">
        <v>45</v>
      </c>
      <c r="G8" s="23" t="s">
        <v>16</v>
      </c>
      <c r="H8" s="23">
        <v>8.5</v>
      </c>
      <c r="I8" s="23">
        <f t="shared" si="0"/>
        <v>382.5</v>
      </c>
      <c r="J8" s="23">
        <v>9.6</v>
      </c>
    </row>
    <row r="9" s="2" customFormat="1" ht="18" customHeight="1" spans="1:10">
      <c r="A9" s="12">
        <v>6</v>
      </c>
      <c r="B9" s="52" t="s">
        <v>243</v>
      </c>
      <c r="C9" s="24" t="s">
        <v>244</v>
      </c>
      <c r="D9" s="25">
        <v>12</v>
      </c>
      <c r="E9" s="23">
        <v>0.5</v>
      </c>
      <c r="F9" s="23">
        <v>6</v>
      </c>
      <c r="G9" s="23" t="s">
        <v>16</v>
      </c>
      <c r="H9" s="23">
        <v>38</v>
      </c>
      <c r="I9" s="23">
        <f t="shared" si="0"/>
        <v>228</v>
      </c>
      <c r="J9" s="23">
        <v>43</v>
      </c>
    </row>
    <row r="10" s="2" customFormat="1" ht="18" customHeight="1" spans="1:10">
      <c r="A10" s="12">
        <v>7</v>
      </c>
      <c r="B10" s="52" t="s">
        <v>245</v>
      </c>
      <c r="C10" s="24" t="s">
        <v>246</v>
      </c>
      <c r="D10" s="25">
        <v>12</v>
      </c>
      <c r="E10" s="23">
        <v>0.5</v>
      </c>
      <c r="F10" s="23">
        <v>6</v>
      </c>
      <c r="G10" s="23" t="s">
        <v>16</v>
      </c>
      <c r="H10" s="23">
        <v>38</v>
      </c>
      <c r="I10" s="23">
        <f t="shared" si="0"/>
        <v>228</v>
      </c>
      <c r="J10" s="23">
        <v>43</v>
      </c>
    </row>
    <row r="11" s="2" customFormat="1" ht="18" customHeight="1" spans="1:10">
      <c r="A11" s="12">
        <v>8</v>
      </c>
      <c r="B11" s="52" t="s">
        <v>247</v>
      </c>
      <c r="C11" s="24" t="s">
        <v>248</v>
      </c>
      <c r="D11" s="25">
        <v>12</v>
      </c>
      <c r="E11" s="23">
        <v>0.5</v>
      </c>
      <c r="F11" s="23">
        <v>6</v>
      </c>
      <c r="G11" s="23" t="s">
        <v>16</v>
      </c>
      <c r="H11" s="23">
        <v>38</v>
      </c>
      <c r="I11" s="23">
        <f t="shared" si="0"/>
        <v>228</v>
      </c>
      <c r="J11" s="23">
        <v>43</v>
      </c>
    </row>
    <row r="12" s="2" customFormat="1" ht="18" customHeight="1" spans="1:10">
      <c r="A12" s="12">
        <v>9</v>
      </c>
      <c r="B12" s="52" t="s">
        <v>249</v>
      </c>
      <c r="C12" s="24" t="s">
        <v>250</v>
      </c>
      <c r="D12" s="25">
        <v>12</v>
      </c>
      <c r="E12" s="23">
        <v>0.5</v>
      </c>
      <c r="F12" s="23">
        <v>6</v>
      </c>
      <c r="G12" s="23" t="s">
        <v>16</v>
      </c>
      <c r="H12" s="23">
        <v>38</v>
      </c>
      <c r="I12" s="23">
        <f t="shared" si="0"/>
        <v>228</v>
      </c>
      <c r="J12" s="23">
        <v>43</v>
      </c>
    </row>
    <row r="13" s="2" customFormat="1" ht="18" customHeight="1" spans="1:10">
      <c r="A13" s="12">
        <v>10</v>
      </c>
      <c r="B13" s="52" t="s">
        <v>251</v>
      </c>
      <c r="C13" s="24" t="s">
        <v>252</v>
      </c>
      <c r="D13" s="25">
        <v>12</v>
      </c>
      <c r="E13" s="23">
        <v>0.5</v>
      </c>
      <c r="F13" s="23">
        <v>6</v>
      </c>
      <c r="G13" s="23" t="s">
        <v>16</v>
      </c>
      <c r="H13" s="23">
        <v>40</v>
      </c>
      <c r="I13" s="23">
        <f t="shared" si="0"/>
        <v>240</v>
      </c>
      <c r="J13" s="23">
        <v>45</v>
      </c>
    </row>
    <row r="14" s="2" customFormat="1" ht="18" customHeight="1" spans="1:10">
      <c r="A14" s="12">
        <v>11</v>
      </c>
      <c r="B14" s="52" t="s">
        <v>253</v>
      </c>
      <c r="C14" s="24" t="s">
        <v>254</v>
      </c>
      <c r="D14" s="25">
        <v>6</v>
      </c>
      <c r="E14" s="23">
        <v>2</v>
      </c>
      <c r="F14" s="23">
        <v>12</v>
      </c>
      <c r="G14" s="23" t="s">
        <v>16</v>
      </c>
      <c r="H14" s="23">
        <v>62</v>
      </c>
      <c r="I14" s="23">
        <f t="shared" si="0"/>
        <v>744</v>
      </c>
      <c r="J14" s="23">
        <v>69</v>
      </c>
    </row>
    <row r="15" s="2" customFormat="1" ht="18" customHeight="1" spans="1:10">
      <c r="A15" s="12">
        <v>12</v>
      </c>
      <c r="B15" s="23" t="s">
        <v>255</v>
      </c>
      <c r="C15" s="24" t="s">
        <v>256</v>
      </c>
      <c r="D15" s="25">
        <v>3</v>
      </c>
      <c r="E15" s="23">
        <v>3</v>
      </c>
      <c r="F15" s="23">
        <v>9</v>
      </c>
      <c r="G15" s="23" t="s">
        <v>16</v>
      </c>
      <c r="H15" s="23">
        <v>74</v>
      </c>
      <c r="I15" s="23">
        <f t="shared" si="0"/>
        <v>666</v>
      </c>
      <c r="J15" s="23">
        <v>84</v>
      </c>
    </row>
    <row r="16" s="2" customFormat="1" ht="18" customHeight="1" spans="1:10">
      <c r="A16" s="12">
        <v>13</v>
      </c>
      <c r="B16" s="52" t="s">
        <v>257</v>
      </c>
      <c r="C16" s="24" t="s">
        <v>258</v>
      </c>
      <c r="D16" s="25">
        <v>12</v>
      </c>
      <c r="E16" s="23">
        <v>1</v>
      </c>
      <c r="F16" s="23">
        <v>12</v>
      </c>
      <c r="G16" s="23" t="s">
        <v>92</v>
      </c>
      <c r="H16" s="23">
        <v>16</v>
      </c>
      <c r="I16" s="23">
        <f t="shared" si="0"/>
        <v>192</v>
      </c>
      <c r="J16" s="23">
        <v>17.8</v>
      </c>
    </row>
    <row r="17" s="2" customFormat="1" ht="18" customHeight="1" spans="1:10">
      <c r="A17" s="12">
        <v>14</v>
      </c>
      <c r="B17" s="52" t="s">
        <v>259</v>
      </c>
      <c r="C17" s="24" t="s">
        <v>260</v>
      </c>
      <c r="D17" s="25">
        <v>12</v>
      </c>
      <c r="E17" s="23">
        <v>1</v>
      </c>
      <c r="F17" s="23">
        <v>12</v>
      </c>
      <c r="G17" s="23" t="s">
        <v>92</v>
      </c>
      <c r="H17" s="23">
        <v>16.8</v>
      </c>
      <c r="I17" s="23">
        <f t="shared" si="0"/>
        <v>201.6</v>
      </c>
      <c r="J17" s="23">
        <v>19</v>
      </c>
    </row>
    <row r="18" s="2" customFormat="1" ht="18" customHeight="1" spans="1:10">
      <c r="A18" s="12"/>
      <c r="B18" s="12"/>
      <c r="C18" s="12" t="s">
        <v>37</v>
      </c>
      <c r="D18" s="23"/>
      <c r="E18" s="23">
        <f>SUM(E4:E17)</f>
        <v>25.5</v>
      </c>
      <c r="F18" s="23"/>
      <c r="G18" s="23"/>
      <c r="H18" s="23"/>
      <c r="I18" s="23">
        <f>SUM(I4:I17)</f>
        <v>8496.1</v>
      </c>
      <c r="J18" s="26"/>
    </row>
    <row r="19" s="2" customFormat="1" ht="18" customHeight="1" spans="1:9">
      <c r="A19" s="9" t="s">
        <v>80</v>
      </c>
      <c r="B19" s="15"/>
      <c r="C19" s="9" t="s">
        <v>40</v>
      </c>
      <c r="D19" s="15"/>
      <c r="E19" s="15" t="s">
        <v>41</v>
      </c>
      <c r="F19" s="15"/>
      <c r="G19" s="15"/>
      <c r="H19" s="15"/>
      <c r="I19" s="15"/>
    </row>
    <row r="20" s="3" customFormat="1" ht="17.25" spans="1:9">
      <c r="A20" s="16"/>
      <c r="B20" s="16"/>
      <c r="C20" s="17"/>
      <c r="D20" s="16"/>
      <c r="E20" s="16"/>
      <c r="F20" s="16"/>
      <c r="G20" s="16"/>
      <c r="H20" s="16"/>
      <c r="I20" s="16"/>
    </row>
  </sheetData>
  <mergeCells count="2">
    <mergeCell ref="A1:J1"/>
    <mergeCell ref="F2:H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workbookViewId="0">
      <selection activeCell="C40" sqref="C40"/>
    </sheetView>
  </sheetViews>
  <sheetFormatPr defaultColWidth="9" defaultRowHeight="16.5"/>
  <cols>
    <col min="1" max="1" width="5.25" style="5" customWidth="1"/>
    <col min="2" max="2" width="15.75" style="5" customWidth="1"/>
    <col min="3" max="3" width="35.375" style="6" customWidth="1"/>
    <col min="4" max="4" width="8" style="5" customWidth="1"/>
    <col min="5" max="5" width="6" style="5" customWidth="1"/>
    <col min="6" max="6" width="5.875" style="5" customWidth="1"/>
    <col min="7" max="7" width="4.625" style="5" customWidth="1"/>
    <col min="8" max="8" width="5.875" style="5" customWidth="1"/>
    <col min="9" max="9" width="11.4" style="5" customWidth="1"/>
    <col min="10" max="10" width="8" style="4" customWidth="1"/>
    <col min="11" max="11" width="5.125" style="4" customWidth="1"/>
    <col min="12" max="16384" width="9" style="4"/>
  </cols>
  <sheetData>
    <row r="1" s="1" customFormat="1" ht="18" customHeight="1" spans="1:10">
      <c r="A1" s="7" t="s">
        <v>42</v>
      </c>
      <c r="B1" s="7"/>
      <c r="C1" s="8"/>
      <c r="D1" s="7"/>
      <c r="E1" s="7"/>
      <c r="F1" s="7"/>
      <c r="G1" s="7"/>
      <c r="H1" s="7"/>
      <c r="I1" s="7"/>
      <c r="J1" s="7"/>
    </row>
    <row r="2" s="2" customFormat="1" ht="14" customHeight="1" spans="1:9">
      <c r="A2" s="9" t="s">
        <v>1</v>
      </c>
      <c r="B2" s="9" t="s">
        <v>2</v>
      </c>
      <c r="C2" s="9"/>
      <c r="D2" s="10"/>
      <c r="E2" s="10" t="s">
        <v>3</v>
      </c>
      <c r="F2" s="11">
        <v>45806</v>
      </c>
      <c r="G2" s="11"/>
      <c r="H2" s="11"/>
      <c r="I2" s="15"/>
    </row>
    <row r="3" s="2" customFormat="1" ht="14" customHeight="1" spans="1:10">
      <c r="A3" s="12" t="s">
        <v>4</v>
      </c>
      <c r="B3" s="12" t="s">
        <v>5</v>
      </c>
      <c r="C3" s="13" t="s">
        <v>6</v>
      </c>
      <c r="D3" s="12" t="s">
        <v>7</v>
      </c>
      <c r="E3" s="12" t="s">
        <v>8</v>
      </c>
      <c r="F3" s="12" t="s">
        <v>9</v>
      </c>
      <c r="G3" s="12" t="s">
        <v>10</v>
      </c>
      <c r="H3" s="12" t="s">
        <v>11</v>
      </c>
      <c r="I3" s="12" t="s">
        <v>12</v>
      </c>
      <c r="J3" s="12" t="s">
        <v>13</v>
      </c>
    </row>
    <row r="4" s="2" customFormat="1" ht="14" customHeight="1" spans="1:10">
      <c r="A4" s="12">
        <v>1</v>
      </c>
      <c r="B4" s="49" t="s">
        <v>261</v>
      </c>
      <c r="C4" s="13" t="s">
        <v>262</v>
      </c>
      <c r="D4" s="14">
        <v>1</v>
      </c>
      <c r="E4" s="12">
        <v>10</v>
      </c>
      <c r="F4" s="12">
        <v>10</v>
      </c>
      <c r="G4" s="12" t="s">
        <v>45</v>
      </c>
      <c r="H4" s="12">
        <v>205</v>
      </c>
      <c r="I4" s="12">
        <f t="shared" ref="I4:I35" si="0">H4*F4</f>
        <v>2050</v>
      </c>
      <c r="J4" s="12">
        <v>228</v>
      </c>
    </row>
    <row r="5" s="2" customFormat="1" ht="14" customHeight="1" spans="1:10">
      <c r="A5" s="12">
        <v>2</v>
      </c>
      <c r="B5" s="49" t="s">
        <v>263</v>
      </c>
      <c r="C5" s="13" t="s">
        <v>264</v>
      </c>
      <c r="D5" s="14">
        <v>10</v>
      </c>
      <c r="E5" s="12">
        <v>1</v>
      </c>
      <c r="F5" s="12">
        <v>10</v>
      </c>
      <c r="G5" s="12" t="s">
        <v>16</v>
      </c>
      <c r="H5" s="12">
        <v>86</v>
      </c>
      <c r="I5" s="12">
        <f t="shared" si="0"/>
        <v>860</v>
      </c>
      <c r="J5" s="18">
        <v>95.8</v>
      </c>
    </row>
    <row r="6" s="2" customFormat="1" ht="14" customHeight="1" spans="1:10">
      <c r="A6" s="12">
        <v>3</v>
      </c>
      <c r="B6" s="49" t="s">
        <v>265</v>
      </c>
      <c r="C6" s="13" t="s">
        <v>266</v>
      </c>
      <c r="D6" s="14">
        <v>10</v>
      </c>
      <c r="E6" s="12">
        <v>1</v>
      </c>
      <c r="F6" s="12">
        <v>10</v>
      </c>
      <c r="G6" s="12" t="s">
        <v>16</v>
      </c>
      <c r="H6" s="12">
        <v>86</v>
      </c>
      <c r="I6" s="12">
        <f t="shared" si="0"/>
        <v>860</v>
      </c>
      <c r="J6" s="18">
        <v>95.8</v>
      </c>
    </row>
    <row r="7" s="2" customFormat="1" ht="14" customHeight="1" spans="1:10">
      <c r="A7" s="12">
        <v>4</v>
      </c>
      <c r="B7" s="49" t="s">
        <v>267</v>
      </c>
      <c r="C7" s="13" t="s">
        <v>268</v>
      </c>
      <c r="D7" s="14">
        <v>6</v>
      </c>
      <c r="E7" s="12">
        <v>2</v>
      </c>
      <c r="F7" s="12">
        <v>12</v>
      </c>
      <c r="G7" s="12" t="s">
        <v>16</v>
      </c>
      <c r="H7" s="12">
        <v>169</v>
      </c>
      <c r="I7" s="12">
        <f t="shared" si="0"/>
        <v>2028</v>
      </c>
      <c r="J7" s="12">
        <v>188</v>
      </c>
    </row>
    <row r="8" s="2" customFormat="1" ht="14" customHeight="1" spans="1:10">
      <c r="A8" s="12">
        <v>5</v>
      </c>
      <c r="B8" s="49" t="s">
        <v>269</v>
      </c>
      <c r="C8" s="13" t="s">
        <v>270</v>
      </c>
      <c r="D8" s="14">
        <v>1</v>
      </c>
      <c r="E8" s="12">
        <v>10</v>
      </c>
      <c r="F8" s="12">
        <v>10</v>
      </c>
      <c r="G8" s="12" t="s">
        <v>45</v>
      </c>
      <c r="H8" s="12">
        <v>170</v>
      </c>
      <c r="I8" s="12">
        <f t="shared" si="0"/>
        <v>1700</v>
      </c>
      <c r="J8" s="12">
        <v>189</v>
      </c>
    </row>
    <row r="9" s="2" customFormat="1" ht="14" customHeight="1" spans="1:10">
      <c r="A9" s="12">
        <v>6</v>
      </c>
      <c r="B9" s="49" t="s">
        <v>271</v>
      </c>
      <c r="C9" s="13" t="s">
        <v>272</v>
      </c>
      <c r="D9" s="14">
        <v>1</v>
      </c>
      <c r="E9" s="12">
        <v>10</v>
      </c>
      <c r="F9" s="12">
        <v>10</v>
      </c>
      <c r="G9" s="12" t="s">
        <v>45</v>
      </c>
      <c r="H9" s="12">
        <v>107</v>
      </c>
      <c r="I9" s="12">
        <f t="shared" si="0"/>
        <v>1070</v>
      </c>
      <c r="J9" s="12">
        <v>119</v>
      </c>
    </row>
    <row r="10" s="2" customFormat="1" ht="14" customHeight="1" spans="1:10">
      <c r="A10" s="12">
        <v>7</v>
      </c>
      <c r="B10" s="49" t="s">
        <v>273</v>
      </c>
      <c r="C10" s="13" t="s">
        <v>274</v>
      </c>
      <c r="D10" s="14">
        <v>4</v>
      </c>
      <c r="E10" s="12">
        <v>1</v>
      </c>
      <c r="F10" s="12">
        <v>4</v>
      </c>
      <c r="G10" s="12" t="s">
        <v>275</v>
      </c>
      <c r="H10" s="12">
        <v>84</v>
      </c>
      <c r="I10" s="12">
        <f t="shared" si="0"/>
        <v>336</v>
      </c>
      <c r="J10" s="12">
        <v>94</v>
      </c>
    </row>
    <row r="11" s="2" customFormat="1" ht="14" customHeight="1" spans="1:10">
      <c r="A11" s="12">
        <v>8</v>
      </c>
      <c r="B11" s="49" t="s">
        <v>276</v>
      </c>
      <c r="C11" s="13" t="s">
        <v>277</v>
      </c>
      <c r="D11" s="14">
        <v>4</v>
      </c>
      <c r="E11" s="12">
        <v>1</v>
      </c>
      <c r="F11" s="12">
        <v>4</v>
      </c>
      <c r="G11" s="12" t="s">
        <v>275</v>
      </c>
      <c r="H11" s="12">
        <v>84</v>
      </c>
      <c r="I11" s="12">
        <f t="shared" si="0"/>
        <v>336</v>
      </c>
      <c r="J11" s="12">
        <v>94</v>
      </c>
    </row>
    <row r="12" s="2" customFormat="1" ht="14" customHeight="1" spans="1:10">
      <c r="A12" s="12">
        <v>9</v>
      </c>
      <c r="B12" s="49" t="s">
        <v>278</v>
      </c>
      <c r="C12" s="13" t="s">
        <v>279</v>
      </c>
      <c r="D12" s="14">
        <v>20</v>
      </c>
      <c r="E12" s="12">
        <v>0.5</v>
      </c>
      <c r="F12" s="12">
        <v>10</v>
      </c>
      <c r="G12" s="12" t="s">
        <v>16</v>
      </c>
      <c r="H12" s="12">
        <v>11.6</v>
      </c>
      <c r="I12" s="12">
        <f t="shared" si="0"/>
        <v>116</v>
      </c>
      <c r="J12" s="12">
        <v>12.9</v>
      </c>
    </row>
    <row r="13" s="2" customFormat="1" ht="14" customHeight="1" spans="1:10">
      <c r="A13" s="12">
        <v>10</v>
      </c>
      <c r="B13" s="49" t="s">
        <v>280</v>
      </c>
      <c r="C13" s="13" t="s">
        <v>281</v>
      </c>
      <c r="D13" s="14">
        <v>1</v>
      </c>
      <c r="E13" s="12">
        <v>24</v>
      </c>
      <c r="F13" s="12">
        <v>24</v>
      </c>
      <c r="G13" s="12" t="s">
        <v>99</v>
      </c>
      <c r="H13" s="12">
        <v>7</v>
      </c>
      <c r="I13" s="12">
        <f t="shared" si="0"/>
        <v>168</v>
      </c>
      <c r="J13" s="12">
        <v>7.8</v>
      </c>
    </row>
    <row r="14" s="2" customFormat="1" ht="14" customHeight="1" spans="1:10">
      <c r="A14" s="12">
        <v>11</v>
      </c>
      <c r="B14" s="49" t="s">
        <v>282</v>
      </c>
      <c r="C14" s="13" t="s">
        <v>283</v>
      </c>
      <c r="D14" s="14">
        <v>1</v>
      </c>
      <c r="E14" s="12">
        <v>24</v>
      </c>
      <c r="F14" s="12">
        <v>24</v>
      </c>
      <c r="G14" s="12" t="s">
        <v>99</v>
      </c>
      <c r="H14" s="12">
        <v>9.8</v>
      </c>
      <c r="I14" s="12">
        <f t="shared" si="0"/>
        <v>235.2</v>
      </c>
      <c r="J14" s="12">
        <v>10.9</v>
      </c>
    </row>
    <row r="15" s="2" customFormat="1" ht="14" customHeight="1" spans="1:10">
      <c r="A15" s="12">
        <v>12</v>
      </c>
      <c r="B15" s="12" t="s">
        <v>284</v>
      </c>
      <c r="C15" s="13" t="s">
        <v>285</v>
      </c>
      <c r="D15" s="14">
        <v>15</v>
      </c>
      <c r="E15" s="12">
        <v>1</v>
      </c>
      <c r="F15" s="12">
        <v>15</v>
      </c>
      <c r="G15" s="12" t="s">
        <v>16</v>
      </c>
      <c r="H15" s="12">
        <v>4.6</v>
      </c>
      <c r="I15" s="12">
        <f t="shared" si="0"/>
        <v>69</v>
      </c>
      <c r="J15" s="12">
        <v>5</v>
      </c>
    </row>
    <row r="16" s="2" customFormat="1" ht="14" customHeight="1" spans="1:10">
      <c r="A16" s="12">
        <v>13</v>
      </c>
      <c r="B16" s="12" t="s">
        <v>286</v>
      </c>
      <c r="C16" s="13" t="s">
        <v>287</v>
      </c>
      <c r="D16" s="14">
        <v>6</v>
      </c>
      <c r="E16" s="12">
        <v>1</v>
      </c>
      <c r="F16" s="12">
        <v>6</v>
      </c>
      <c r="G16" s="12" t="s">
        <v>288</v>
      </c>
      <c r="H16" s="12">
        <v>24.5</v>
      </c>
      <c r="I16" s="12">
        <f t="shared" si="0"/>
        <v>147</v>
      </c>
      <c r="J16" s="12">
        <v>27.5</v>
      </c>
    </row>
    <row r="17" s="2" customFormat="1" ht="14" customHeight="1" spans="1:10">
      <c r="A17" s="12">
        <v>14</v>
      </c>
      <c r="B17" s="12" t="s">
        <v>289</v>
      </c>
      <c r="C17" s="13" t="s">
        <v>290</v>
      </c>
      <c r="D17" s="14">
        <v>72</v>
      </c>
      <c r="E17" s="12">
        <v>0.5</v>
      </c>
      <c r="F17" s="12">
        <v>36</v>
      </c>
      <c r="G17" s="12" t="s">
        <v>291</v>
      </c>
      <c r="H17" s="12">
        <v>6.2</v>
      </c>
      <c r="I17" s="12">
        <f t="shared" si="0"/>
        <v>223.2</v>
      </c>
      <c r="J17" s="12">
        <v>6.9</v>
      </c>
    </row>
    <row r="18" s="2" customFormat="1" ht="14" customHeight="1" spans="1:10">
      <c r="A18" s="12">
        <v>15</v>
      </c>
      <c r="B18" s="12" t="s">
        <v>292</v>
      </c>
      <c r="C18" s="13" t="s">
        <v>293</v>
      </c>
      <c r="D18" s="14">
        <v>12</v>
      </c>
      <c r="E18" s="12">
        <v>5</v>
      </c>
      <c r="F18" s="12">
        <v>60</v>
      </c>
      <c r="G18" s="12" t="s">
        <v>16</v>
      </c>
      <c r="H18" s="12">
        <v>2.5</v>
      </c>
      <c r="I18" s="12">
        <f t="shared" si="0"/>
        <v>150</v>
      </c>
      <c r="J18" s="12">
        <v>2.8</v>
      </c>
    </row>
    <row r="19" s="2" customFormat="1" ht="14" customHeight="1" spans="1:10">
      <c r="A19" s="12">
        <v>16</v>
      </c>
      <c r="B19" s="12" t="s">
        <v>294</v>
      </c>
      <c r="C19" s="13" t="s">
        <v>295</v>
      </c>
      <c r="D19" s="14">
        <v>12</v>
      </c>
      <c r="E19" s="12">
        <v>1</v>
      </c>
      <c r="F19" s="12">
        <v>12</v>
      </c>
      <c r="G19" s="12" t="s">
        <v>16</v>
      </c>
      <c r="H19" s="12">
        <v>4.9</v>
      </c>
      <c r="I19" s="12">
        <f t="shared" si="0"/>
        <v>58.8</v>
      </c>
      <c r="J19" s="12">
        <v>5.5</v>
      </c>
    </row>
    <row r="20" s="2" customFormat="1" ht="14" customHeight="1" spans="1:10">
      <c r="A20" s="12">
        <v>17</v>
      </c>
      <c r="B20" s="12" t="s">
        <v>296</v>
      </c>
      <c r="C20" s="13" t="s">
        <v>297</v>
      </c>
      <c r="D20" s="14">
        <v>12</v>
      </c>
      <c r="E20" s="12">
        <v>1</v>
      </c>
      <c r="F20" s="12">
        <v>12</v>
      </c>
      <c r="G20" s="12" t="s">
        <v>16</v>
      </c>
      <c r="H20" s="12">
        <v>9.8</v>
      </c>
      <c r="I20" s="12">
        <f t="shared" si="0"/>
        <v>117.6</v>
      </c>
      <c r="J20" s="12">
        <v>10.8</v>
      </c>
    </row>
    <row r="21" s="2" customFormat="1" ht="14" customHeight="1" spans="1:10">
      <c r="A21" s="12">
        <v>18</v>
      </c>
      <c r="B21" s="12" t="s">
        <v>298</v>
      </c>
      <c r="C21" s="13" t="s">
        <v>299</v>
      </c>
      <c r="D21" s="14">
        <v>24</v>
      </c>
      <c r="E21" s="12">
        <v>1</v>
      </c>
      <c r="F21" s="12">
        <v>24</v>
      </c>
      <c r="G21" s="12" t="s">
        <v>99</v>
      </c>
      <c r="H21" s="12">
        <v>13.4</v>
      </c>
      <c r="I21" s="12">
        <f t="shared" si="0"/>
        <v>321.6</v>
      </c>
      <c r="J21" s="12">
        <v>14.9</v>
      </c>
    </row>
    <row r="22" s="2" customFormat="1" ht="14" customHeight="1" spans="1:10">
      <c r="A22" s="12">
        <v>19</v>
      </c>
      <c r="B22" s="12" t="s">
        <v>300</v>
      </c>
      <c r="C22" s="13" t="s">
        <v>301</v>
      </c>
      <c r="D22" s="14">
        <v>24</v>
      </c>
      <c r="E22" s="12">
        <v>1</v>
      </c>
      <c r="F22" s="12">
        <v>24</v>
      </c>
      <c r="G22" s="12" t="s">
        <v>99</v>
      </c>
      <c r="H22" s="12">
        <v>12</v>
      </c>
      <c r="I22" s="12">
        <f t="shared" si="0"/>
        <v>288</v>
      </c>
      <c r="J22" s="12">
        <v>13.5</v>
      </c>
    </row>
    <row r="23" s="2" customFormat="1" ht="14" customHeight="1" spans="1:10">
      <c r="A23" s="12">
        <v>20</v>
      </c>
      <c r="B23" s="12" t="s">
        <v>302</v>
      </c>
      <c r="C23" s="13" t="s">
        <v>303</v>
      </c>
      <c r="D23" s="14">
        <v>24</v>
      </c>
      <c r="E23" s="12">
        <v>1</v>
      </c>
      <c r="F23" s="12">
        <v>24</v>
      </c>
      <c r="G23" s="12" t="s">
        <v>99</v>
      </c>
      <c r="H23" s="12">
        <v>14</v>
      </c>
      <c r="I23" s="12">
        <f t="shared" si="0"/>
        <v>336</v>
      </c>
      <c r="J23" s="12">
        <v>15.6</v>
      </c>
    </row>
    <row r="24" s="2" customFormat="1" ht="14" customHeight="1" spans="1:10">
      <c r="A24" s="12">
        <v>21</v>
      </c>
      <c r="B24" s="12" t="s">
        <v>304</v>
      </c>
      <c r="C24" s="13" t="s">
        <v>305</v>
      </c>
      <c r="D24" s="14">
        <v>10</v>
      </c>
      <c r="E24" s="12">
        <v>1</v>
      </c>
      <c r="F24" s="12">
        <v>10</v>
      </c>
      <c r="G24" s="12" t="s">
        <v>99</v>
      </c>
      <c r="H24" s="12">
        <v>13</v>
      </c>
      <c r="I24" s="12">
        <f t="shared" si="0"/>
        <v>130</v>
      </c>
      <c r="J24" s="12">
        <v>14.5</v>
      </c>
    </row>
    <row r="25" s="2" customFormat="1" ht="14" customHeight="1" spans="1:10">
      <c r="A25" s="12">
        <v>22</v>
      </c>
      <c r="B25" s="12" t="s">
        <v>306</v>
      </c>
      <c r="C25" s="13" t="s">
        <v>307</v>
      </c>
      <c r="D25" s="14">
        <v>20</v>
      </c>
      <c r="E25" s="12">
        <v>1</v>
      </c>
      <c r="F25" s="12">
        <v>20</v>
      </c>
      <c r="G25" s="12" t="s">
        <v>99</v>
      </c>
      <c r="H25" s="12">
        <v>6.1</v>
      </c>
      <c r="I25" s="12">
        <f t="shared" si="0"/>
        <v>122</v>
      </c>
      <c r="J25" s="12">
        <v>6.8</v>
      </c>
    </row>
    <row r="26" s="2" customFormat="1" ht="14" customHeight="1" spans="1:10">
      <c r="A26" s="12">
        <v>23</v>
      </c>
      <c r="B26" s="12" t="s">
        <v>308</v>
      </c>
      <c r="C26" s="13" t="s">
        <v>309</v>
      </c>
      <c r="D26" s="14">
        <v>12</v>
      </c>
      <c r="E26" s="12">
        <v>1</v>
      </c>
      <c r="F26" s="12">
        <v>12</v>
      </c>
      <c r="G26" s="12" t="s">
        <v>16</v>
      </c>
      <c r="H26" s="12">
        <v>5.3</v>
      </c>
      <c r="I26" s="12">
        <f t="shared" si="0"/>
        <v>63.6</v>
      </c>
      <c r="J26" s="12">
        <v>6</v>
      </c>
    </row>
    <row r="27" s="2" customFormat="1" ht="14" customHeight="1" spans="1:10">
      <c r="A27" s="12">
        <v>24</v>
      </c>
      <c r="B27" s="12" t="s">
        <v>310</v>
      </c>
      <c r="C27" s="13" t="s">
        <v>311</v>
      </c>
      <c r="D27" s="14">
        <v>20</v>
      </c>
      <c r="E27" s="12">
        <v>1</v>
      </c>
      <c r="F27" s="12">
        <v>20</v>
      </c>
      <c r="G27" s="12" t="s">
        <v>99</v>
      </c>
      <c r="H27" s="12">
        <v>6.1</v>
      </c>
      <c r="I27" s="12">
        <f t="shared" si="0"/>
        <v>122</v>
      </c>
      <c r="J27" s="12">
        <v>6.8</v>
      </c>
    </row>
    <row r="28" s="2" customFormat="1" ht="14" customHeight="1" spans="1:10">
      <c r="A28" s="12">
        <v>25</v>
      </c>
      <c r="B28" s="12" t="s">
        <v>312</v>
      </c>
      <c r="C28" s="13" t="s">
        <v>313</v>
      </c>
      <c r="D28" s="14">
        <v>14</v>
      </c>
      <c r="E28" s="12">
        <v>2</v>
      </c>
      <c r="F28" s="12">
        <v>28</v>
      </c>
      <c r="G28" s="12" t="s">
        <v>92</v>
      </c>
      <c r="H28" s="12">
        <v>10.8</v>
      </c>
      <c r="I28" s="12">
        <f t="shared" si="0"/>
        <v>302.4</v>
      </c>
      <c r="J28" s="12">
        <v>11.9</v>
      </c>
    </row>
    <row r="29" s="2" customFormat="1" ht="14" customHeight="1" spans="1:10">
      <c r="A29" s="12">
        <v>26</v>
      </c>
      <c r="B29" s="12" t="s">
        <v>314</v>
      </c>
      <c r="C29" s="13" t="s">
        <v>315</v>
      </c>
      <c r="D29" s="14">
        <v>72</v>
      </c>
      <c r="E29" s="12">
        <v>0.3472</v>
      </c>
      <c r="F29" s="12">
        <v>25</v>
      </c>
      <c r="G29" s="12" t="s">
        <v>291</v>
      </c>
      <c r="H29" s="12">
        <v>10.5</v>
      </c>
      <c r="I29" s="12">
        <f t="shared" si="0"/>
        <v>262.5</v>
      </c>
      <c r="J29" s="12">
        <v>12</v>
      </c>
    </row>
    <row r="30" s="2" customFormat="1" ht="14" customHeight="1" spans="1:10">
      <c r="A30" s="12">
        <v>27</v>
      </c>
      <c r="B30" s="12" t="s">
        <v>316</v>
      </c>
      <c r="C30" s="13" t="s">
        <v>317</v>
      </c>
      <c r="D30" s="14">
        <v>72</v>
      </c>
      <c r="E30" s="12">
        <v>0.3472</v>
      </c>
      <c r="F30" s="12">
        <v>25</v>
      </c>
      <c r="G30" s="12" t="s">
        <v>291</v>
      </c>
      <c r="H30" s="12">
        <v>8.9</v>
      </c>
      <c r="I30" s="12">
        <f t="shared" si="0"/>
        <v>222.5</v>
      </c>
      <c r="J30" s="12">
        <v>9.9</v>
      </c>
    </row>
    <row r="31" s="2" customFormat="1" ht="14" customHeight="1" spans="1:10">
      <c r="A31" s="12">
        <v>28</v>
      </c>
      <c r="B31" s="12" t="s">
        <v>318</v>
      </c>
      <c r="C31" s="13" t="s">
        <v>319</v>
      </c>
      <c r="D31" s="14">
        <v>14</v>
      </c>
      <c r="E31" s="12">
        <v>2</v>
      </c>
      <c r="F31" s="12">
        <v>28</v>
      </c>
      <c r="G31" s="12" t="s">
        <v>92</v>
      </c>
      <c r="H31" s="12">
        <v>10.8</v>
      </c>
      <c r="I31" s="12">
        <f t="shared" si="0"/>
        <v>302.4</v>
      </c>
      <c r="J31" s="12">
        <v>11.9</v>
      </c>
    </row>
    <row r="32" s="2" customFormat="1" ht="14" customHeight="1" spans="1:10">
      <c r="A32" s="12">
        <v>29</v>
      </c>
      <c r="B32" s="12" t="s">
        <v>320</v>
      </c>
      <c r="C32" s="13" t="s">
        <v>321</v>
      </c>
      <c r="D32" s="14">
        <v>24</v>
      </c>
      <c r="E32" s="12">
        <v>1</v>
      </c>
      <c r="F32" s="12">
        <v>24</v>
      </c>
      <c r="G32" s="12" t="s">
        <v>99</v>
      </c>
      <c r="H32" s="12">
        <v>5.3</v>
      </c>
      <c r="I32" s="12">
        <f t="shared" si="0"/>
        <v>127.2</v>
      </c>
      <c r="J32" s="12">
        <v>5.9</v>
      </c>
    </row>
    <row r="33" s="2" customFormat="1" ht="14" customHeight="1" spans="1:10">
      <c r="A33" s="12">
        <v>30</v>
      </c>
      <c r="B33" s="12" t="s">
        <v>322</v>
      </c>
      <c r="C33" s="13" t="s">
        <v>323</v>
      </c>
      <c r="D33" s="14">
        <v>9</v>
      </c>
      <c r="E33" s="12">
        <v>3</v>
      </c>
      <c r="F33" s="12">
        <v>27</v>
      </c>
      <c r="G33" s="12" t="s">
        <v>16</v>
      </c>
      <c r="H33" s="12">
        <v>13.9</v>
      </c>
      <c r="I33" s="12">
        <f t="shared" si="0"/>
        <v>375.3</v>
      </c>
      <c r="J33" s="12">
        <v>15.5</v>
      </c>
    </row>
    <row r="34" s="2" customFormat="1" ht="14" customHeight="1" spans="1:10">
      <c r="A34" s="12">
        <v>31</v>
      </c>
      <c r="B34" s="12" t="s">
        <v>324</v>
      </c>
      <c r="C34" s="13" t="s">
        <v>325</v>
      </c>
      <c r="D34" s="14">
        <v>60</v>
      </c>
      <c r="E34" s="12">
        <v>0.1666</v>
      </c>
      <c r="F34" s="12">
        <v>10</v>
      </c>
      <c r="G34" s="12" t="s">
        <v>36</v>
      </c>
      <c r="H34" s="12">
        <v>4.5</v>
      </c>
      <c r="I34" s="12">
        <f t="shared" si="0"/>
        <v>45</v>
      </c>
      <c r="J34" s="12">
        <v>5</v>
      </c>
    </row>
    <row r="35" s="2" customFormat="1" ht="14" customHeight="1" spans="1:10">
      <c r="A35" s="12">
        <v>32</v>
      </c>
      <c r="B35" s="12" t="s">
        <v>326</v>
      </c>
      <c r="C35" s="13" t="s">
        <v>327</v>
      </c>
      <c r="D35" s="14">
        <v>60</v>
      </c>
      <c r="E35" s="12">
        <v>0.1666</v>
      </c>
      <c r="F35" s="12">
        <v>10</v>
      </c>
      <c r="G35" s="12" t="s">
        <v>36</v>
      </c>
      <c r="H35" s="12">
        <v>4.9</v>
      </c>
      <c r="I35" s="12">
        <f t="shared" si="0"/>
        <v>49</v>
      </c>
      <c r="J35" s="12">
        <v>5.5</v>
      </c>
    </row>
    <row r="36" s="2" customFormat="1" ht="14" customHeight="1" spans="1:10">
      <c r="A36" s="12"/>
      <c r="B36" s="12"/>
      <c r="C36" s="12" t="s">
        <v>37</v>
      </c>
      <c r="D36" s="12"/>
      <c r="E36" s="12">
        <f>SUM(E4:E35)</f>
        <v>110.0276</v>
      </c>
      <c r="F36" s="12"/>
      <c r="G36" s="12"/>
      <c r="H36" s="12"/>
      <c r="I36" s="12">
        <f>SUM(I4:I35)</f>
        <v>13594.3</v>
      </c>
      <c r="J36" s="19"/>
    </row>
    <row r="37" s="2" customFormat="1" ht="14" customHeight="1" spans="1:9">
      <c r="A37" s="9" t="s">
        <v>80</v>
      </c>
      <c r="B37" s="15"/>
      <c r="C37" s="9" t="s">
        <v>40</v>
      </c>
      <c r="D37" s="15"/>
      <c r="E37" s="15" t="s">
        <v>41</v>
      </c>
      <c r="F37" s="15"/>
      <c r="G37" s="15"/>
      <c r="H37" s="15"/>
      <c r="I37" s="15"/>
    </row>
    <row r="38" s="3" customFormat="1" ht="17.25" spans="1:9">
      <c r="A38" s="16"/>
      <c r="B38" s="16"/>
      <c r="C38" s="17"/>
      <c r="D38" s="16"/>
      <c r="E38" s="16"/>
      <c r="F38" s="16"/>
      <c r="G38" s="16"/>
      <c r="H38" s="16"/>
      <c r="I38" s="16"/>
    </row>
    <row r="40" s="4" customFormat="1" spans="1:8">
      <c r="A40" s="5"/>
      <c r="B40" s="6"/>
      <c r="C40" s="5"/>
      <c r="D40" s="5"/>
      <c r="E40" s="5"/>
      <c r="F40" s="5"/>
      <c r="G40" s="5"/>
      <c r="H40" s="5"/>
    </row>
  </sheetData>
  <mergeCells count="2">
    <mergeCell ref="A1:J1"/>
    <mergeCell ref="F2:H2"/>
  </mergeCells>
  <conditionalFormatting sqref="B1:B39 B41:B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5.12奶制品</vt:lpstr>
      <vt:lpstr>5.13自采</vt:lpstr>
      <vt:lpstr>5.14自采</vt:lpstr>
      <vt:lpstr>5.20奶制品</vt:lpstr>
      <vt:lpstr>5.26日用品</vt:lpstr>
      <vt:lpstr>5.27自采</vt:lpstr>
      <vt:lpstr>5.29日用品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</dc:creator>
  <cp:lastModifiedBy>mayn</cp:lastModifiedBy>
  <dcterms:created xsi:type="dcterms:W3CDTF">2023-05-12T11:15:00Z</dcterms:created>
  <dcterms:modified xsi:type="dcterms:W3CDTF">2025-06-09T00:30:38Z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4E31516EC80F4096BB2C50BE76A78C2A_12</vt:lpwstr>
  </property>
</Properties>
</file>